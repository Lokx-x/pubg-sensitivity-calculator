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585" windowWidth="37455" windowHeight="17100"/>
  </bookViews>
  <sheets>
    <sheet name="Korean" sheetId="1" r:id="rId1"/>
    <sheet name="English" sheetId="2" r:id="rId2"/>
    <sheet name="日本語" sheetId="3" r:id="rId3"/>
    <sheet name="简体中文" sheetId="4" r:id="rId4"/>
    <sheet name="繁體中文" sheetId="5" r:id="rId5"/>
    <sheet name="Русский" sheetId="6" r:id="rId6"/>
  </sheets>
  <calcPr calcId="124519"/>
</workbook>
</file>

<file path=xl/calcChain.xml><?xml version="1.0" encoding="utf-8"?>
<calcChain xmlns="http://schemas.openxmlformats.org/spreadsheetml/2006/main">
  <c r="B30" i="6"/>
  <c r="B31" s="1"/>
  <c r="B32" s="1"/>
  <c r="C26" s="1"/>
  <c r="I20"/>
  <c r="I21" s="1"/>
  <c r="I8" s="1"/>
  <c r="I19"/>
  <c r="P16"/>
  <c r="O16"/>
  <c r="P15"/>
  <c r="O15"/>
  <c r="P14"/>
  <c r="O14"/>
  <c r="P13"/>
  <c r="O13"/>
  <c r="P12"/>
  <c r="O12"/>
  <c r="P11"/>
  <c r="O11"/>
  <c r="P9"/>
  <c r="F9"/>
  <c r="F10" s="1"/>
  <c r="C9"/>
  <c r="C10" s="1"/>
  <c r="C11" s="1"/>
  <c r="P8"/>
  <c r="B30" i="5"/>
  <c r="B31" s="1"/>
  <c r="B32" s="1"/>
  <c r="C26" s="1"/>
  <c r="I20"/>
  <c r="I21" s="1"/>
  <c r="I8" s="1"/>
  <c r="I19"/>
  <c r="P16"/>
  <c r="O16"/>
  <c r="P15"/>
  <c r="O15"/>
  <c r="P14"/>
  <c r="O14"/>
  <c r="P13"/>
  <c r="O13"/>
  <c r="P12"/>
  <c r="O12"/>
  <c r="P11"/>
  <c r="O11"/>
  <c r="P9"/>
  <c r="F9"/>
  <c r="F10" s="1"/>
  <c r="C9"/>
  <c r="C10" s="1"/>
  <c r="C11" s="1"/>
  <c r="P8"/>
  <c r="B30" i="4"/>
  <c r="B31" s="1"/>
  <c r="B32" s="1"/>
  <c r="C26" s="1"/>
  <c r="I20"/>
  <c r="I21" s="1"/>
  <c r="I8" s="1"/>
  <c r="I19"/>
  <c r="P16"/>
  <c r="O16"/>
  <c r="P15"/>
  <c r="O15"/>
  <c r="P14"/>
  <c r="O14"/>
  <c r="P13"/>
  <c r="O13"/>
  <c r="P12"/>
  <c r="O12"/>
  <c r="P11"/>
  <c r="O11"/>
  <c r="P9"/>
  <c r="F9"/>
  <c r="F10" s="1"/>
  <c r="C9"/>
  <c r="C10" s="1"/>
  <c r="C11" s="1"/>
  <c r="P8"/>
  <c r="B30" i="3"/>
  <c r="B31" s="1"/>
  <c r="B32" s="1"/>
  <c r="C26" s="1"/>
  <c r="I20"/>
  <c r="I21" s="1"/>
  <c r="I8" s="1"/>
  <c r="I19"/>
  <c r="P16"/>
  <c r="O16"/>
  <c r="P15"/>
  <c r="O15"/>
  <c r="P14"/>
  <c r="O14"/>
  <c r="P13"/>
  <c r="O13"/>
  <c r="P12"/>
  <c r="O12"/>
  <c r="P11"/>
  <c r="O11"/>
  <c r="P9"/>
  <c r="F9"/>
  <c r="F10" s="1"/>
  <c r="C9"/>
  <c r="C10" s="1"/>
  <c r="C11" s="1"/>
  <c r="P8"/>
  <c r="B30" i="2"/>
  <c r="B31" s="1"/>
  <c r="B32" s="1"/>
  <c r="C26" s="1"/>
  <c r="I20"/>
  <c r="I21" s="1"/>
  <c r="I8" s="1"/>
  <c r="I19"/>
  <c r="P16"/>
  <c r="O16"/>
  <c r="P15"/>
  <c r="O15"/>
  <c r="P14"/>
  <c r="O14"/>
  <c r="P13"/>
  <c r="O13"/>
  <c r="P12"/>
  <c r="O12"/>
  <c r="P11"/>
  <c r="O11"/>
  <c r="P9"/>
  <c r="F9"/>
  <c r="F10" s="1"/>
  <c r="C9"/>
  <c r="C10" s="1"/>
  <c r="C11" s="1"/>
  <c r="P8"/>
  <c r="B30" i="1"/>
  <c r="B31" s="1"/>
  <c r="B32" s="1"/>
  <c r="C26" s="1"/>
  <c r="I20"/>
  <c r="I21" s="1"/>
  <c r="I8" s="1"/>
  <c r="I19"/>
  <c r="P16"/>
  <c r="O16"/>
  <c r="P15"/>
  <c r="O15"/>
  <c r="P14"/>
  <c r="O14"/>
  <c r="P13"/>
  <c r="O13"/>
  <c r="P12"/>
  <c r="O12"/>
  <c r="P11"/>
  <c r="O11"/>
  <c r="C10"/>
  <c r="C11" s="1"/>
  <c r="P9"/>
  <c r="F9"/>
  <c r="F10" s="1"/>
  <c r="C9"/>
  <c r="P8"/>
  <c r="C13" i="2" l="1"/>
  <c r="C12"/>
  <c r="C27" i="1"/>
  <c r="C28"/>
  <c r="C12" i="5"/>
  <c r="C13"/>
  <c r="C27" i="4"/>
  <c r="C28"/>
  <c r="C28" i="6"/>
  <c r="C27"/>
  <c r="C12"/>
  <c r="C13"/>
  <c r="C12" i="1"/>
  <c r="C13"/>
  <c r="C27" i="3"/>
  <c r="C28"/>
  <c r="C13"/>
  <c r="C12"/>
  <c r="C27" i="5"/>
  <c r="C28"/>
  <c r="C13" i="4"/>
  <c r="C12"/>
  <c r="C28" i="2"/>
  <c r="C27"/>
</calcChain>
</file>

<file path=xl/sharedStrings.xml><?xml version="1.0" encoding="utf-8"?>
<sst xmlns="http://schemas.openxmlformats.org/spreadsheetml/2006/main" count="570" uniqueCount="351">
  <si>
    <t>유저 입력란</t>
  </si>
  <si>
    <t>계산된 값</t>
  </si>
  <si>
    <t>수직감도 계산기</t>
  </si>
  <si>
    <t>DPI 변경</t>
  </si>
  <si>
    <t>해상도 비율</t>
  </si>
  <si>
    <t>해상도 변경</t>
  </si>
  <si>
    <t>기존 감도</t>
  </si>
  <si>
    <t>내 DPI</t>
  </si>
  <si>
    <t>해상도</t>
  </si>
  <si>
    <t>화면비</t>
  </si>
  <si>
    <t>기존 수직 감도</t>
  </si>
  <si>
    <t>기존 DPI</t>
  </si>
  <si>
    <t>내 감도</t>
  </si>
  <si>
    <t>1280x720</t>
  </si>
  <si>
    <t>16:9</t>
  </si>
  <si>
    <t>변경할 감도</t>
  </si>
  <si>
    <t>변경할 DPI</t>
  </si>
  <si>
    <t>eDPI</t>
  </si>
  <si>
    <t>1366x768</t>
  </si>
  <si>
    <t>기존 해상도</t>
  </si>
  <si>
    <t>1728x1080</t>
  </si>
  <si>
    <t>감도 차이</t>
  </si>
  <si>
    <t>DPI 차이</t>
  </si>
  <si>
    <t>1600x900</t>
  </si>
  <si>
    <t>변경할 해상도</t>
  </si>
  <si>
    <t>1920x1080</t>
  </si>
  <si>
    <t>감도 비율 계산</t>
  </si>
  <si>
    <t>감도</t>
  </si>
  <si>
    <t>수직감도</t>
  </si>
  <si>
    <t>비고</t>
  </si>
  <si>
    <t>변경할 감도의 수직 감도 값</t>
  </si>
  <si>
    <t>2560x1080</t>
  </si>
  <si>
    <t>21:9</t>
  </si>
  <si>
    <t>16:9 -&gt; 16:10 (전체화면 스케일링)</t>
  </si>
  <si>
    <t>기존 수직감도*1.11</t>
  </si>
  <si>
    <t>반올림</t>
  </si>
  <si>
    <t>2560x1440</t>
  </si>
  <si>
    <t>16:10 -&gt; 16:9 (스케일링 복구)</t>
  </si>
  <si>
    <t>기존 수직감도/1.11</t>
  </si>
  <si>
    <t>버림</t>
  </si>
  <si>
    <t>3440x1440</t>
  </si>
  <si>
    <t>16:9 -&gt; 21:9 (모니터 변경)</t>
  </si>
  <si>
    <t>기존 수직감도*0.85</t>
  </si>
  <si>
    <t>3840x2160</t>
  </si>
  <si>
    <t>21:9 -&gt; 16:9 (모니터 변경)</t>
  </si>
  <si>
    <t>기존 수직감도/0.85</t>
  </si>
  <si>
    <t>16:10</t>
  </si>
  <si>
    <t>16:9 -&gt; 4:3 (전체화면 스케일링)</t>
  </si>
  <si>
    <t>기존 수직감도*1.3</t>
  </si>
  <si>
    <t>1920x1200</t>
  </si>
  <si>
    <t>4:3 -&gt; 16:9 (스케일링 복구)</t>
  </si>
  <si>
    <t>기존 수직감도/1.3</t>
  </si>
  <si>
    <t>기준 DPI</t>
  </si>
  <si>
    <t>2560x1600</t>
  </si>
  <si>
    <t>기준 감도</t>
  </si>
  <si>
    <t>2304x1440</t>
  </si>
  <si>
    <t>PUBG 감도 계산기</t>
  </si>
  <si>
    <t>1440x1080</t>
  </si>
  <si>
    <t>4:3</t>
  </si>
  <si>
    <t>Created by Lokx_x</t>
  </si>
  <si>
    <t>1920x1440</t>
  </si>
  <si>
    <t>Localization &amp; Translation: ChatGPT (OpenAI)</t>
  </si>
  <si>
    <t>기준 DPI로 계산 된 나의 감도</t>
  </si>
  <si>
    <t>배율감도 계산기</t>
  </si>
  <si>
    <t>스코프모드 감도</t>
  </si>
  <si>
    <t>수직 감도</t>
  </si>
  <si>
    <t>dpi</t>
  </si>
  <si>
    <t>수직감도를 포함한 edpi</t>
  </si>
  <si>
    <t>2배율 감도</t>
  </si>
  <si>
    <t>3배율 감도</t>
  </si>
  <si>
    <t>User Input</t>
  </si>
  <si>
    <t>Calculated Result</t>
  </si>
  <si>
    <t>Vertical Multiplier Calculator</t>
  </si>
  <si>
    <t>DPI Converter</t>
  </si>
  <si>
    <t>Resolution / Aspect Ratio</t>
  </si>
  <si>
    <t>Resolution Converter</t>
  </si>
  <si>
    <t>Current ADS Sensitivity</t>
  </si>
  <si>
    <t>Your DPI</t>
  </si>
  <si>
    <t>Resolution</t>
  </si>
  <si>
    <t>Aspect Ratio</t>
  </si>
  <si>
    <t>Current Vertical Multiplier</t>
  </si>
  <si>
    <t>Current DPI</t>
  </si>
  <si>
    <t>Your ADS Sensitivity</t>
  </si>
  <si>
    <t>Target ADS Sensitivity</t>
  </si>
  <si>
    <t>Target DPI</t>
  </si>
  <si>
    <t>Current Resolution</t>
  </si>
  <si>
    <t>Sensitivity Difference</t>
  </si>
  <si>
    <t>DPI Difference</t>
  </si>
  <si>
    <t>Target Resolution</t>
  </si>
  <si>
    <t>Sensitivity Ratio</t>
  </si>
  <si>
    <t>Conversion Type</t>
  </si>
  <si>
    <t>ADS Sensitivity</t>
  </si>
  <si>
    <t>Vertical Multiplier</t>
  </si>
  <si>
    <t>Notes</t>
  </si>
  <si>
    <t>Target Vertical Multiplier</t>
  </si>
  <si>
    <t>16:9 → 16:10 (Fullscreen Scaling)</t>
  </si>
  <si>
    <t>Current Vertical Multiplier × 1.11</t>
  </si>
  <si>
    <t>Rounded</t>
  </si>
  <si>
    <t>16:10 → 16:9 (Scale Back)</t>
  </si>
  <si>
    <t>Current Vertical Multiplier ÷ 1.11</t>
  </si>
  <si>
    <t>Rounded Down</t>
  </si>
  <si>
    <t>16:9 → 21:9 (Monitor Change)</t>
  </si>
  <si>
    <t>Current Vertical Multiplier × 0.85</t>
  </si>
  <si>
    <t>21:9 → 16:9 (Monitor Change)</t>
  </si>
  <si>
    <t>Current Vertical Multiplier ÷ 0.85</t>
  </si>
  <si>
    <t>16:9 → 4:3 (Fullscreen Scaling)</t>
  </si>
  <si>
    <t>Current Vertical Multiplier × 1.33</t>
  </si>
  <si>
    <t>4:3 → 16:9 (Scale Back)</t>
  </si>
  <si>
    <t>Current Vertical Multiplier ÷ 1.33</t>
  </si>
  <si>
    <t>Base DPI</t>
  </si>
  <si>
    <t>Base ADS Sensitivity</t>
  </si>
  <si>
    <t>PUBG Sensitivity Calculator</t>
  </si>
  <si>
    <t>Your Sensitivity at Base DPI</t>
  </si>
  <si>
    <t>Scope Sensitivity Calculator</t>
  </si>
  <si>
    <t>Scope Mode Sensitivity</t>
  </si>
  <si>
    <t>DPI</t>
  </si>
  <si>
    <t>Effective eDPI (Vertical Included)</t>
  </si>
  <si>
    <t>2x Scope Sensitivity</t>
  </si>
  <si>
    <t>3x Scope Sensitivity</t>
  </si>
  <si>
    <t>ユーザー入力</t>
  </si>
  <si>
    <t>計算結果</t>
  </si>
  <si>
    <t>垂直倍率計算機</t>
  </si>
  <si>
    <t>DPI変換</t>
  </si>
  <si>
    <t>解像度 / アスペクト比</t>
  </si>
  <si>
    <t>解像度変換</t>
  </si>
  <si>
    <t>現在のADS感度</t>
  </si>
  <si>
    <t>自分のDPI</t>
  </si>
  <si>
    <t>解像度</t>
  </si>
  <si>
    <t>アスペクト比</t>
  </si>
  <si>
    <t>現在の垂直倍率</t>
  </si>
  <si>
    <t>現在のDPI</t>
  </si>
  <si>
    <t>自分のADS感度</t>
  </si>
  <si>
    <t>目標ADS感度</t>
  </si>
  <si>
    <t>目標DPI</t>
  </si>
  <si>
    <t>現在の解像度</t>
  </si>
  <si>
    <t>感度差</t>
  </si>
  <si>
    <t>DPI差</t>
  </si>
  <si>
    <t>目標解像度</t>
  </si>
  <si>
    <t>感度比率</t>
  </si>
  <si>
    <t>変換タイプ</t>
  </si>
  <si>
    <t>ADS感度</t>
  </si>
  <si>
    <t>垂直倍率</t>
  </si>
  <si>
    <t>備考</t>
  </si>
  <si>
    <t>目標垂直倍率</t>
  </si>
  <si>
    <t>16:9 → 16:10（フルスクリーンスケーリング）</t>
  </si>
  <si>
    <t>現在の垂直倍率 × 1.11</t>
  </si>
  <si>
    <t>四捨五入</t>
  </si>
  <si>
    <t>16:10 → 16:9（スケーリング復元）</t>
  </si>
  <si>
    <t>現在の垂直倍率 ÷ 1.11</t>
  </si>
  <si>
    <t>切り捨て</t>
  </si>
  <si>
    <t>16:9 → 21:9（モニター変更）</t>
  </si>
  <si>
    <t>現在の垂直倍率 × 0.85</t>
  </si>
  <si>
    <t>21:9 → 16:9（モニター変更）</t>
  </si>
  <si>
    <t>現在の垂直倍率 ÷ 0.85</t>
  </si>
  <si>
    <t>16:9 → 4:3（フルスクリーンスケーリング）</t>
  </si>
  <si>
    <t>現在の垂直倍率 × 1.33</t>
  </si>
  <si>
    <t>4:3 → 16:9（スケーリング復元）</t>
  </si>
  <si>
    <t>現在の垂直倍率 ÷ 1.33</t>
  </si>
  <si>
    <t>基準DPI</t>
  </si>
  <si>
    <t>基準ADS感度</t>
  </si>
  <si>
    <t>PUBG 感度計算機</t>
  </si>
  <si>
    <t>作成者: Lokx_x</t>
  </si>
  <si>
    <t>ローカライズ・翻訳: ChatGPT (OpenAI)</t>
  </si>
  <si>
    <t>基準DPIでの自分の感度</t>
  </si>
  <si>
    <t>スコープ感度計算機</t>
  </si>
  <si>
    <t>スコープモード感度</t>
  </si>
  <si>
    <t>実効eDPI（垂直倍率込み）</t>
  </si>
  <si>
    <t>2倍スコープ感度</t>
  </si>
  <si>
    <t>3倍スコープ感度</t>
  </si>
  <si>
    <t>用户输入</t>
  </si>
  <si>
    <t>计算结果</t>
  </si>
  <si>
    <t>垂直倍率计算器</t>
  </si>
  <si>
    <t>DPI 转换</t>
  </si>
  <si>
    <t>分辨率 / 宽高比</t>
  </si>
  <si>
    <t>分辨率转换</t>
  </si>
  <si>
    <t>当前 ADS 灵敏度</t>
  </si>
  <si>
    <t>你的 DPI</t>
  </si>
  <si>
    <t>分辨率</t>
  </si>
  <si>
    <t>宽高比</t>
  </si>
  <si>
    <t>当前垂直倍率</t>
  </si>
  <si>
    <t>当前 DPI</t>
  </si>
  <si>
    <t>你的 ADS 灵敏度</t>
  </si>
  <si>
    <t>目标 ADS 灵敏度</t>
  </si>
  <si>
    <t>目标 DPI</t>
  </si>
  <si>
    <t>当前分辨率</t>
  </si>
  <si>
    <t>灵敏度差值</t>
  </si>
  <si>
    <t>DPI 差值</t>
  </si>
  <si>
    <t>目标分辨率</t>
  </si>
  <si>
    <t>灵敏度比例</t>
  </si>
  <si>
    <t>转换类型</t>
  </si>
  <si>
    <t>ADS 灵敏度</t>
  </si>
  <si>
    <t>备注</t>
  </si>
  <si>
    <t>目标垂直倍率</t>
  </si>
  <si>
    <t>16:9 → 16:10（全屏缩放）</t>
  </si>
  <si>
    <t>当前垂直倍率 × 1.11</t>
  </si>
  <si>
    <t>四舍五入</t>
  </si>
  <si>
    <t>16:10 → 16:9（缩放还原）</t>
  </si>
  <si>
    <t>当前垂直倍率 ÷ 1.11</t>
  </si>
  <si>
    <t>向下取整</t>
  </si>
  <si>
    <t>16:9 → 21:9（更换显示器）</t>
  </si>
  <si>
    <t>当前垂直倍率 × 0.85</t>
  </si>
  <si>
    <t>21:9 → 16:9（更换显示器）</t>
  </si>
  <si>
    <t>当前垂直倍率 ÷ 0.85</t>
  </si>
  <si>
    <t>16:9 → 4:3（全屏缩放）</t>
  </si>
  <si>
    <t>当前垂直倍率 × 1.33</t>
  </si>
  <si>
    <t>4:3 → 16:9（缩放还原）</t>
  </si>
  <si>
    <t>当前垂直倍率 ÷ 1.33</t>
  </si>
  <si>
    <t>基准 DPI</t>
  </si>
  <si>
    <t>基准 ADS 灵敏度</t>
  </si>
  <si>
    <t>PUBG 灵敏度计算器</t>
  </si>
  <si>
    <t>作者: Lokx_x</t>
  </si>
  <si>
    <t>本地化与翻译: ChatGPT (OpenAI)</t>
  </si>
  <si>
    <t>按基准 DPI 计算的灵敏度</t>
  </si>
  <si>
    <t>倍镜灵敏度计算器</t>
  </si>
  <si>
    <t>开镜模式灵敏度</t>
  </si>
  <si>
    <t>有效 eDPI（含垂直倍率）</t>
  </si>
  <si>
    <t>2 倍镜灵敏度</t>
  </si>
  <si>
    <t>3 倍镜灵敏度</t>
  </si>
  <si>
    <t>使用者輸入</t>
  </si>
  <si>
    <t>垂直倍率計算器</t>
  </si>
  <si>
    <t>DPI 轉換</t>
  </si>
  <si>
    <t>解析度 / 長寬比</t>
  </si>
  <si>
    <t>解析度轉換</t>
  </si>
  <si>
    <t>目前 ADS 靈敏度</t>
  </si>
  <si>
    <t>解析度</t>
  </si>
  <si>
    <t>長寬比</t>
  </si>
  <si>
    <t>目前垂直倍率</t>
  </si>
  <si>
    <t>目前 DPI</t>
  </si>
  <si>
    <t>你的 ADS 靈敏度</t>
  </si>
  <si>
    <t>目標 ADS 靈敏度</t>
  </si>
  <si>
    <t>目標 DPI</t>
  </si>
  <si>
    <t>目前解析度</t>
  </si>
  <si>
    <t>靈敏度差值</t>
  </si>
  <si>
    <t>目標解析度</t>
  </si>
  <si>
    <t>靈敏度比例</t>
  </si>
  <si>
    <t>轉換類型</t>
  </si>
  <si>
    <t>ADS 靈敏度</t>
  </si>
  <si>
    <t>備註</t>
  </si>
  <si>
    <t>16:9 → 16:10（全螢幕縮放）</t>
  </si>
  <si>
    <t>目前垂直倍率 × 1.11</t>
  </si>
  <si>
    <t>16:10 → 16:9（縮放還原）</t>
  </si>
  <si>
    <t>目前垂直倍率 ÷ 1.11</t>
  </si>
  <si>
    <t>無條件捨去</t>
  </si>
  <si>
    <t>16:9 → 21:9（更換顯示器）</t>
  </si>
  <si>
    <t>目前垂直倍率 × 0.85</t>
  </si>
  <si>
    <t>21:9 → 16:9（更換顯示器）</t>
  </si>
  <si>
    <t>目前垂直倍率 ÷ 0.85</t>
  </si>
  <si>
    <t>16:9 → 4:3（全螢幕縮放）</t>
  </si>
  <si>
    <t>目前垂直倍率 × 1.33</t>
  </si>
  <si>
    <t>4:3 → 16:9（縮放還原）</t>
  </si>
  <si>
    <t>目前垂直倍率 ÷ 1.33</t>
  </si>
  <si>
    <t>基準 DPI</t>
  </si>
  <si>
    <t>基準 ADS 靈敏度</t>
  </si>
  <si>
    <t>PUBG 靈敏度計算器</t>
  </si>
  <si>
    <t>在地化與翻譯: ChatGPT (OpenAI)</t>
  </si>
  <si>
    <t>以基準 DPI 計算的靈敏度</t>
  </si>
  <si>
    <t>倍鏡靈敏度計算器</t>
  </si>
  <si>
    <t>開鏡模式靈敏度</t>
  </si>
  <si>
    <t>2 倍鏡靈敏度</t>
  </si>
  <si>
    <t>3 倍鏡靈敏度</t>
  </si>
  <si>
    <t>Ввод пользователя</t>
  </si>
  <si>
    <t>Результат расчёта</t>
  </si>
  <si>
    <t>Вертикальный множитель</t>
  </si>
  <si>
    <t>Конвертер DPI</t>
  </si>
  <si>
    <t>Разрешение / Формат</t>
  </si>
  <si>
    <t>Конвертер разрешения</t>
  </si>
  <si>
    <t>Текущая ADS</t>
  </si>
  <si>
    <t>Ваш DPI</t>
  </si>
  <si>
    <t>Разрешение</t>
  </si>
  <si>
    <t>Соотношение</t>
  </si>
  <si>
    <t>Текущий множитель</t>
  </si>
  <si>
    <t>Текущий DPI</t>
  </si>
  <si>
    <t>Ваша ADS</t>
  </si>
  <si>
    <t>Целевая ADS</t>
  </si>
  <si>
    <t>Целевой DPI</t>
  </si>
  <si>
    <t>Текущее разрешение</t>
  </si>
  <si>
    <t>Разница чувств.</t>
  </si>
  <si>
    <t>Разница DPI</t>
  </si>
  <si>
    <t>Целевое разрешение</t>
  </si>
  <si>
    <t>Коэф. чувств.</t>
  </si>
  <si>
    <t>Тип конвертации</t>
  </si>
  <si>
    <t>ADS</t>
  </si>
  <si>
    <t>Вертик. множитель</t>
  </si>
  <si>
    <t>Примечания</t>
  </si>
  <si>
    <t>Целевой множитель</t>
  </si>
  <si>
    <t>16:9 → 16:10 (полноэкранное масштабирование)</t>
  </si>
  <si>
    <t>Текущий множитель × 1.11</t>
  </si>
  <si>
    <t>Округление</t>
  </si>
  <si>
    <t>16:10 → 16:9 (возврат масштаба)</t>
  </si>
  <si>
    <t>Текущий множитель ÷ 1.11</t>
  </si>
  <si>
    <t>Округление вниз</t>
  </si>
  <si>
    <t>16:9 → 21:9 (смена монитора)</t>
  </si>
  <si>
    <t>Текущий множитель × 0.85</t>
  </si>
  <si>
    <t>21:9 → 16:9 (смена монитора)</t>
  </si>
  <si>
    <t>Текущий множитель ÷ 0.85</t>
  </si>
  <si>
    <t>16:9 → 4:3 (полноэкранное масштабирование)</t>
  </si>
  <si>
    <t>Текущий множитель × 1.33</t>
  </si>
  <si>
    <t>4:3 → 16:9 (возврат масштаба)</t>
  </si>
  <si>
    <t>Текущий множитель ÷ 1.33</t>
  </si>
  <si>
    <t>Базовый DPI</t>
  </si>
  <si>
    <t>Базовая ADS</t>
  </si>
  <si>
    <t>Калькулятор чувствительности PUBG</t>
  </si>
  <si>
    <t>Автор: Lokx_x</t>
  </si>
  <si>
    <t>Локализация: ChatGPT (OpenAI)</t>
  </si>
  <si>
    <t>ADS при базовом DPI</t>
  </si>
  <si>
    <t>Чувствительность прицелов</t>
  </si>
  <si>
    <t>eDPI с вертикалью</t>
  </si>
  <si>
    <t>2x прицел</t>
  </si>
  <si>
    <t>3x прицел</t>
  </si>
  <si>
    <t>PUBG-style eDPI 계산기</t>
  </si>
  <si>
    <t>기준 PUBG-style eDPI</t>
  </si>
  <si>
    <t>eDPI 공식 참고</t>
  </si>
  <si>
    <t>PUBG config의 LastConvertedSensitivity 기준</t>
  </si>
  <si>
    <t>ConvertedSensitivity ≈ 0.002 × 10^(감도 / 50)</t>
  </si>
  <si>
    <t>감도 +15 → 10^(15/50) ≈ 1.995배</t>
  </si>
  <si>
    <t>즉, 체감 속도 약 2배로 계산</t>
  </si>
  <si>
    <t>PUBG-style eDPI Calculator</t>
  </si>
  <si>
    <t>Base PUBG-style eDPI</t>
  </si>
  <si>
    <t>eDPI Formula Reference</t>
  </si>
  <si>
    <t>Based on PUBG config LastConvertedSensitivity</t>
  </si>
  <si>
    <t>ConvertedSensitivity ≈ 0.002 × 10^(Sensitivity / 50)</t>
  </si>
  <si>
    <t>Sensitivity +15 → 10^(15/50) ≈ 1.995×</t>
  </si>
  <si>
    <t>≈ almost 2× perceived speed</t>
  </si>
  <si>
    <t>PUBG式 eDPI計算機</t>
  </si>
  <si>
    <t>基準PUBG式eDPI</t>
  </si>
  <si>
    <t>eDPI計算式メモ</t>
  </si>
  <si>
    <t>PUBG configのLastConvertedSensitivity基準</t>
  </si>
  <si>
    <t>ConvertedSensitivity ≈ 0.002 × 10^(感度 / 50)</t>
  </si>
  <si>
    <t>感度 +15 → 10^(15/50) ≈ 1.995倍</t>
  </si>
  <si>
    <t>つまり体感速度はほぼ2倍</t>
  </si>
  <si>
    <t>PUBG式 eDPI 计算器</t>
  </si>
  <si>
    <t>基准 PUBG式 eDPI</t>
  </si>
  <si>
    <t>eDPI 公式参考</t>
  </si>
  <si>
    <t>基于 PUBG config 的 LastConvertedSensitivity</t>
  </si>
  <si>
    <t>ConvertedSensitivity ≈ 0.002 × 10^(灵敏度 / 50)</t>
  </si>
  <si>
    <t>灵敏度 +15 → 10^(15/50) ≈ 1.995倍</t>
  </si>
  <si>
    <t>即体感速度约为2倍</t>
  </si>
  <si>
    <t>PUBG式 eDPI 計算器</t>
  </si>
  <si>
    <t>基準 PUBG式 eDPI</t>
  </si>
  <si>
    <t>eDPI 公式參考</t>
  </si>
  <si>
    <t>基於 PUBG config 的 LastConvertedSensitivity</t>
  </si>
  <si>
    <t>ConvertedSensitivity ≈ 0.002 × 10^(靈敏度 / 50)</t>
  </si>
  <si>
    <t>靈敏度 +15 → 10^(15/50) ≈ 1.995倍</t>
  </si>
  <si>
    <t>也就是體感速度約為2倍</t>
  </si>
  <si>
    <t>PUBG-style eDPI калькулятор</t>
  </si>
  <si>
    <t>Базовый PUBG-style eDPI</t>
  </si>
  <si>
    <t>Формула eDPI</t>
  </si>
  <si>
    <t>На основе LastConvertedSensitivity из config PUBG</t>
  </si>
  <si>
    <t>ConvertedSensitivity ≈ 0.002 × 10^(чувств. / 50)</t>
  </si>
  <si>
    <t>+15 чувств. → 10^(15/50) ≈ 1.995×</t>
  </si>
  <si>
    <t>то есть почти 2× по ощущаемой скорости</t>
  </si>
</sst>
</file>

<file path=xl/styles.xml><?xml version="1.0" encoding="utf-8"?>
<styleSheet xmlns="http://schemas.openxmlformats.org/spreadsheetml/2006/main">
  <numFmts count="2">
    <numFmt numFmtId="176" formatCode="0.000%"/>
    <numFmt numFmtId="177" formatCode="0.00_ "/>
  </numFmts>
  <fonts count="13">
    <font>
      <sz val="11"/>
      <color theme="1"/>
      <name val="맑은 고딕"/>
    </font>
    <font>
      <sz val="18"/>
      <color theme="1"/>
      <name val="맑은 고딕"/>
      <family val="3"/>
      <charset val="129"/>
    </font>
    <font>
      <sz val="13"/>
      <color theme="1"/>
      <name val="맑은 고딕"/>
      <family val="3"/>
      <charset val="129"/>
    </font>
    <font>
      <sz val="13"/>
      <name val="맑은 고딕"/>
      <family val="3"/>
      <charset val="129"/>
    </font>
    <font>
      <sz val="11"/>
      <color theme="0" tint="-0.14999847407452621"/>
      <name val="맑은 고딕"/>
      <family val="3"/>
      <charset val="129"/>
    </font>
    <font>
      <sz val="8"/>
      <color rgb="FF666666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0" tint="-0.14999847407452621"/>
      <name val="맑은 고딕"/>
      <family val="3"/>
      <charset val="129"/>
    </font>
    <font>
      <sz val="9"/>
      <color rgb="FF666666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9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8" tint="0.79992065187536243"/>
        <bgColor indexed="65"/>
      </patternFill>
    </fill>
    <fill>
      <patternFill patternType="solid">
        <fgColor rgb="FFEAF3F8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/>
      <bottom/>
      <diagonal style="thin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0" fillId="0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0" fillId="2" borderId="1" xfId="0" applyNumberFormat="1" applyFont="1" applyFill="1" applyBorder="1" applyAlignment="1">
      <alignment vertical="center" wrapText="1"/>
    </xf>
    <xf numFmtId="0" fontId="0" fillId="4" borderId="1" xfId="0" applyNumberFormat="1" applyFont="1" applyFill="1" applyBorder="1" applyAlignment="1">
      <alignment vertical="center" wrapText="1"/>
    </xf>
    <xf numFmtId="0" fontId="2" fillId="0" borderId="4" xfId="0" applyNumberFormat="1" applyFont="1" applyFill="1" applyBorder="1" applyAlignment="1">
      <alignment vertical="center" wrapText="1"/>
    </xf>
    <xf numFmtId="0" fontId="2" fillId="2" borderId="5" xfId="0" applyNumberFormat="1" applyFont="1" applyFill="1" applyBorder="1" applyAlignment="1">
      <alignment vertical="center" wrapText="1"/>
    </xf>
    <xf numFmtId="0" fontId="3" fillId="2" borderId="5" xfId="0" applyNumberFormat="1" applyFont="1" applyFill="1" applyBorder="1" applyAlignment="1">
      <alignment vertical="center" wrapText="1"/>
    </xf>
    <xf numFmtId="0" fontId="0" fillId="0" borderId="4" xfId="0" applyNumberFormat="1" applyFont="1" applyFill="1" applyBorder="1" applyAlignment="1">
      <alignment vertical="center" wrapText="1"/>
    </xf>
    <xf numFmtId="0" fontId="0" fillId="0" borderId="5" xfId="0" applyNumberFormat="1" applyFont="1" applyFill="1" applyBorder="1" applyAlignment="1">
      <alignment vertical="center" wrapText="1"/>
    </xf>
    <xf numFmtId="0" fontId="2" fillId="0" borderId="6" xfId="0" applyNumberFormat="1" applyFont="1" applyFill="1" applyBorder="1" applyAlignment="1">
      <alignment vertical="center" wrapText="1"/>
    </xf>
    <xf numFmtId="0" fontId="2" fillId="2" borderId="7" xfId="0" applyNumberFormat="1" applyFont="1" applyFill="1" applyBorder="1" applyAlignment="1">
      <alignment vertical="center" wrapText="1"/>
    </xf>
    <xf numFmtId="0" fontId="3" fillId="2" borderId="7" xfId="0" applyNumberFormat="1" applyFont="1" applyFill="1" applyBorder="1" applyAlignment="1">
      <alignment vertical="center" wrapText="1"/>
    </xf>
    <xf numFmtId="0" fontId="2" fillId="0" borderId="8" xfId="0" applyNumberFormat="1" applyFont="1" applyFill="1" applyBorder="1" applyAlignment="1">
      <alignment vertical="center" wrapText="1"/>
    </xf>
    <xf numFmtId="0" fontId="2" fillId="2" borderId="9" xfId="0" applyNumberFormat="1" applyFont="1" applyFill="1" applyBorder="1" applyAlignment="1">
      <alignment vertical="center" wrapText="1"/>
    </xf>
    <xf numFmtId="0" fontId="0" fillId="0" borderId="6" xfId="0" applyNumberFormat="1" applyFont="1" applyFill="1" applyBorder="1" applyAlignment="1">
      <alignment vertical="center" wrapText="1"/>
    </xf>
    <xf numFmtId="49" fontId="0" fillId="0" borderId="7" xfId="0" applyNumberFormat="1" applyFont="1" applyFill="1" applyBorder="1" applyAlignment="1">
      <alignment vertical="center" wrapText="1"/>
    </xf>
    <xf numFmtId="0" fontId="3" fillId="2" borderId="9" xfId="0" applyNumberFormat="1" applyFont="1" applyFill="1" applyBorder="1" applyAlignment="1">
      <alignment vertical="center" wrapText="1"/>
    </xf>
    <xf numFmtId="0" fontId="2" fillId="0" borderId="13" xfId="0" applyNumberFormat="1" applyFont="1" applyFill="1" applyBorder="1" applyAlignment="1">
      <alignment vertical="center" wrapText="1"/>
    </xf>
    <xf numFmtId="0" fontId="2" fillId="4" borderId="14" xfId="0" applyNumberFormat="1" applyFont="1" applyFill="1" applyBorder="1" applyAlignment="1">
      <alignment vertical="center" wrapText="1"/>
    </xf>
    <xf numFmtId="0" fontId="2" fillId="2" borderId="16" xfId="0" applyNumberFormat="1" applyFont="1" applyFill="1" applyBorder="1" applyAlignment="1">
      <alignment vertical="center" wrapText="1"/>
    </xf>
    <xf numFmtId="0" fontId="2" fillId="0" borderId="5" xfId="0" applyNumberFormat="1" applyFont="1" applyFill="1" applyBorder="1" applyAlignment="1">
      <alignment vertical="center" wrapText="1"/>
    </xf>
    <xf numFmtId="0" fontId="2" fillId="0" borderId="2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vertical="center" wrapText="1"/>
    </xf>
    <xf numFmtId="0" fontId="2" fillId="2" borderId="18" xfId="0" applyNumberFormat="1" applyFont="1" applyFill="1" applyBorder="1" applyAlignment="1">
      <alignment vertical="center" wrapText="1"/>
    </xf>
    <xf numFmtId="176" fontId="2" fillId="0" borderId="9" xfId="0" applyNumberFormat="1" applyFont="1" applyFill="1" applyBorder="1" applyAlignment="1">
      <alignment vertical="center" wrapText="1"/>
    </xf>
    <xf numFmtId="176" fontId="2" fillId="0" borderId="17" xfId="0" applyNumberFormat="1" applyFont="1" applyFill="1" applyBorder="1" applyAlignment="1">
      <alignment vertical="center" wrapText="1"/>
    </xf>
    <xf numFmtId="0" fontId="2" fillId="0" borderId="1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vertical="center" wrapText="1"/>
    </xf>
    <xf numFmtId="0" fontId="2" fillId="4" borderId="11" xfId="0" applyNumberFormat="1" applyFont="1" applyFill="1" applyBorder="1" applyAlignment="1">
      <alignment vertical="center" wrapText="1"/>
    </xf>
    <xf numFmtId="0" fontId="2" fillId="4" borderId="16" xfId="0" applyNumberFormat="1" applyFont="1" applyFill="1" applyBorder="1" applyAlignment="1">
      <alignment vertical="center" wrapText="1"/>
    </xf>
    <xf numFmtId="177" fontId="2" fillId="4" borderId="16" xfId="0" applyNumberFormat="1" applyFont="1" applyFill="1" applyBorder="1" applyAlignment="1">
      <alignment vertical="center" wrapText="1"/>
    </xf>
    <xf numFmtId="177" fontId="2" fillId="4" borderId="7" xfId="0" applyNumberFormat="1" applyFont="1" applyFill="1" applyBorder="1" applyAlignment="1">
      <alignment vertical="center" wrapText="1"/>
    </xf>
    <xf numFmtId="0" fontId="2" fillId="4" borderId="7" xfId="0" applyNumberFormat="1" applyFont="1" applyFill="1" applyBorder="1" applyAlignment="1">
      <alignment vertical="center" wrapText="1"/>
    </xf>
    <xf numFmtId="0" fontId="2" fillId="4" borderId="9" xfId="0" applyNumberFormat="1" applyFont="1" applyFill="1" applyBorder="1" applyAlignment="1">
      <alignment vertical="center" wrapText="1"/>
    </xf>
    <xf numFmtId="20" fontId="2" fillId="0" borderId="6" xfId="0" applyNumberFormat="1" applyFont="1" applyFill="1" applyBorder="1" applyAlignment="1">
      <alignment vertical="center" wrapText="1"/>
    </xf>
    <xf numFmtId="0" fontId="2" fillId="4" borderId="18" xfId="0" applyNumberFormat="1" applyFont="1" applyFill="1" applyBorder="1" applyAlignment="1">
      <alignment vertical="center" wrapText="1"/>
    </xf>
    <xf numFmtId="177" fontId="2" fillId="4" borderId="18" xfId="0" applyNumberFormat="1" applyFont="1" applyFill="1" applyBorder="1" applyAlignment="1">
      <alignment vertical="center" wrapText="1"/>
    </xf>
    <xf numFmtId="177" fontId="2" fillId="4" borderId="9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center" wrapText="1"/>
    </xf>
    <xf numFmtId="0" fontId="0" fillId="0" borderId="8" xfId="0" applyNumberFormat="1" applyFont="1" applyFill="1" applyBorder="1" applyAlignment="1">
      <alignment vertical="center" wrapText="1"/>
    </xf>
    <xf numFmtId="49" fontId="0" fillId="0" borderId="9" xfId="0" applyNumberFormat="1" applyFont="1" applyFill="1" applyBorder="1" applyAlignment="1">
      <alignment vertical="center" wrapText="1"/>
    </xf>
    <xf numFmtId="0" fontId="2" fillId="0" borderId="19" xfId="0" applyNumberFormat="1" applyFont="1" applyFill="1" applyBorder="1" applyAlignment="1">
      <alignment vertical="center" wrapText="1"/>
    </xf>
    <xf numFmtId="0" fontId="2" fillId="2" borderId="20" xfId="0" applyNumberFormat="1" applyFont="1" applyFill="1" applyBorder="1" applyAlignment="1">
      <alignment vertical="center" wrapText="1"/>
    </xf>
    <xf numFmtId="0" fontId="2" fillId="4" borderId="5" xfId="0" applyNumberFormat="1" applyFont="1" applyFill="1" applyBorder="1" applyAlignment="1">
      <alignment vertical="center" wrapText="1"/>
    </xf>
    <xf numFmtId="0" fontId="6" fillId="0" borderId="0" xfId="0" applyNumberFormat="1" applyFont="1" applyFill="1" applyBorder="1" applyAlignment="1">
      <alignment vertical="center" wrapText="1"/>
    </xf>
    <xf numFmtId="0" fontId="6" fillId="0" borderId="1" xfId="0" applyNumberFormat="1" applyFont="1" applyFill="1" applyBorder="1" applyAlignment="1">
      <alignment vertical="center" wrapText="1"/>
    </xf>
    <xf numFmtId="0" fontId="6" fillId="2" borderId="1" xfId="0" applyNumberFormat="1" applyFont="1" applyFill="1" applyBorder="1" applyAlignment="1">
      <alignment vertical="center" wrapText="1"/>
    </xf>
    <xf numFmtId="0" fontId="6" fillId="4" borderId="1" xfId="0" applyNumberFormat="1" applyFont="1" applyFill="1" applyBorder="1" applyAlignment="1">
      <alignment vertical="center" wrapText="1"/>
    </xf>
    <xf numFmtId="0" fontId="6" fillId="0" borderId="4" xfId="0" applyNumberFormat="1" applyFont="1" applyFill="1" applyBorder="1" applyAlignment="1">
      <alignment vertical="center" wrapText="1"/>
    </xf>
    <xf numFmtId="0" fontId="6" fillId="2" borderId="5" xfId="0" applyNumberFormat="1" applyFont="1" applyFill="1" applyBorder="1" applyAlignment="1">
      <alignment vertical="center" wrapText="1"/>
    </xf>
    <xf numFmtId="0" fontId="7" fillId="2" borderId="5" xfId="0" applyNumberFormat="1" applyFont="1" applyFill="1" applyBorder="1" applyAlignment="1">
      <alignment vertical="center" wrapText="1"/>
    </xf>
    <xf numFmtId="0" fontId="6" fillId="0" borderId="5" xfId="0" applyNumberFormat="1" applyFont="1" applyFill="1" applyBorder="1" applyAlignment="1">
      <alignment vertical="center" wrapText="1"/>
    </xf>
    <xf numFmtId="0" fontId="6" fillId="0" borderId="6" xfId="0" applyNumberFormat="1" applyFont="1" applyFill="1" applyBorder="1" applyAlignment="1">
      <alignment vertical="center" wrapText="1"/>
    </xf>
    <xf numFmtId="0" fontId="6" fillId="2" borderId="7" xfId="0" applyNumberFormat="1" applyFont="1" applyFill="1" applyBorder="1" applyAlignment="1">
      <alignment vertical="center" wrapText="1"/>
    </xf>
    <xf numFmtId="0" fontId="7" fillId="2" borderId="7" xfId="0" applyNumberFormat="1" applyFont="1" applyFill="1" applyBorder="1" applyAlignment="1">
      <alignment vertical="center" wrapText="1"/>
    </xf>
    <xf numFmtId="0" fontId="6" fillId="0" borderId="8" xfId="0" applyNumberFormat="1" applyFont="1" applyFill="1" applyBorder="1" applyAlignment="1">
      <alignment vertical="center" wrapText="1"/>
    </xf>
    <xf numFmtId="0" fontId="6" fillId="2" borderId="9" xfId="0" applyNumberFormat="1" applyFont="1" applyFill="1" applyBorder="1" applyAlignment="1">
      <alignment vertical="center" wrapText="1"/>
    </xf>
    <xf numFmtId="49" fontId="6" fillId="0" borderId="7" xfId="0" applyNumberFormat="1" applyFont="1" applyFill="1" applyBorder="1" applyAlignment="1">
      <alignment vertical="center" wrapText="1"/>
    </xf>
    <xf numFmtId="0" fontId="7" fillId="2" borderId="9" xfId="0" applyNumberFormat="1" applyFont="1" applyFill="1" applyBorder="1" applyAlignment="1">
      <alignment vertical="center" wrapText="1"/>
    </xf>
    <xf numFmtId="0" fontId="6" fillId="0" borderId="13" xfId="0" applyNumberFormat="1" applyFont="1" applyFill="1" applyBorder="1" applyAlignment="1">
      <alignment vertical="center" wrapText="1"/>
    </xf>
    <xf numFmtId="0" fontId="6" fillId="4" borderId="14" xfId="0" applyNumberFormat="1" applyFont="1" applyFill="1" applyBorder="1" applyAlignment="1">
      <alignment vertical="center" wrapText="1"/>
    </xf>
    <xf numFmtId="0" fontId="6" fillId="2" borderId="16" xfId="0" applyNumberFormat="1" applyFont="1" applyFill="1" applyBorder="1" applyAlignment="1">
      <alignment vertical="center" wrapText="1"/>
    </xf>
    <xf numFmtId="0" fontId="6" fillId="0" borderId="2" xfId="0" applyNumberFormat="1" applyFont="1" applyFill="1" applyBorder="1" applyAlignment="1">
      <alignment vertical="center" wrapText="1"/>
    </xf>
    <xf numFmtId="0" fontId="6" fillId="0" borderId="3" xfId="0" applyNumberFormat="1" applyFont="1" applyFill="1" applyBorder="1" applyAlignment="1">
      <alignment vertical="center" wrapText="1"/>
    </xf>
    <xf numFmtId="0" fontId="6" fillId="2" borderId="18" xfId="0" applyNumberFormat="1" applyFont="1" applyFill="1" applyBorder="1" applyAlignment="1">
      <alignment vertical="center" wrapText="1"/>
    </xf>
    <xf numFmtId="176" fontId="6" fillId="0" borderId="9" xfId="0" applyNumberFormat="1" applyFont="1" applyFill="1" applyBorder="1" applyAlignment="1">
      <alignment vertical="center" wrapText="1"/>
    </xf>
    <xf numFmtId="176" fontId="6" fillId="0" borderId="17" xfId="0" applyNumberFormat="1" applyFont="1" applyFill="1" applyBorder="1" applyAlignment="1">
      <alignment vertical="center" wrapText="1"/>
    </xf>
    <xf numFmtId="0" fontId="6" fillId="0" borderId="17" xfId="0" applyNumberFormat="1" applyFont="1" applyFill="1" applyBorder="1" applyAlignment="1">
      <alignment vertical="center" wrapText="1"/>
    </xf>
    <xf numFmtId="0" fontId="6" fillId="0" borderId="10" xfId="0" applyNumberFormat="1" applyFont="1" applyFill="1" applyBorder="1" applyAlignment="1">
      <alignment vertical="center" wrapText="1"/>
    </xf>
    <xf numFmtId="0" fontId="6" fillId="4" borderId="11" xfId="0" applyNumberFormat="1" applyFont="1" applyFill="1" applyBorder="1" applyAlignment="1">
      <alignment vertical="center" wrapText="1"/>
    </xf>
    <xf numFmtId="0" fontId="6" fillId="4" borderId="16" xfId="0" applyNumberFormat="1" applyFont="1" applyFill="1" applyBorder="1" applyAlignment="1">
      <alignment vertical="center" wrapText="1"/>
    </xf>
    <xf numFmtId="177" fontId="6" fillId="4" borderId="16" xfId="0" applyNumberFormat="1" applyFont="1" applyFill="1" applyBorder="1" applyAlignment="1">
      <alignment vertical="center" wrapText="1"/>
    </xf>
    <xf numFmtId="177" fontId="6" fillId="4" borderId="7" xfId="0" applyNumberFormat="1" applyFont="1" applyFill="1" applyBorder="1" applyAlignment="1">
      <alignment vertical="center" wrapText="1"/>
    </xf>
    <xf numFmtId="0" fontId="6" fillId="4" borderId="7" xfId="0" applyNumberFormat="1" applyFont="1" applyFill="1" applyBorder="1" applyAlignment="1">
      <alignment vertical="center" wrapText="1"/>
    </xf>
    <xf numFmtId="0" fontId="6" fillId="4" borderId="9" xfId="0" applyNumberFormat="1" applyFont="1" applyFill="1" applyBorder="1" applyAlignment="1">
      <alignment vertical="center" wrapText="1"/>
    </xf>
    <xf numFmtId="20" fontId="6" fillId="0" borderId="6" xfId="0" applyNumberFormat="1" applyFont="1" applyFill="1" applyBorder="1" applyAlignment="1">
      <alignment vertical="center" wrapText="1"/>
    </xf>
    <xf numFmtId="0" fontId="6" fillId="4" borderId="18" xfId="0" applyNumberFormat="1" applyFont="1" applyFill="1" applyBorder="1" applyAlignment="1">
      <alignment vertical="center" wrapText="1"/>
    </xf>
    <xf numFmtId="177" fontId="6" fillId="4" borderId="18" xfId="0" applyNumberFormat="1" applyFont="1" applyFill="1" applyBorder="1" applyAlignment="1">
      <alignment vertical="center" wrapText="1"/>
    </xf>
    <xf numFmtId="177" fontId="6" fillId="4" borderId="9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vertical="center" wrapText="1"/>
    </xf>
    <xf numFmtId="0" fontId="9" fillId="0" borderId="0" xfId="0" applyNumberFormat="1" applyFont="1" applyFill="1" applyBorder="1" applyAlignment="1">
      <alignment horizontal="left" vertical="center" wrapText="1"/>
    </xf>
    <xf numFmtId="49" fontId="6" fillId="0" borderId="9" xfId="0" applyNumberFormat="1" applyFont="1" applyFill="1" applyBorder="1" applyAlignment="1">
      <alignment vertical="center" wrapText="1"/>
    </xf>
    <xf numFmtId="0" fontId="6" fillId="0" borderId="19" xfId="0" applyNumberFormat="1" applyFont="1" applyFill="1" applyBorder="1" applyAlignment="1">
      <alignment vertical="center" wrapText="1"/>
    </xf>
    <xf numFmtId="0" fontId="6" fillId="2" borderId="20" xfId="0" applyNumberFormat="1" applyFont="1" applyFill="1" applyBorder="1" applyAlignment="1">
      <alignment vertical="center" wrapText="1"/>
    </xf>
    <xf numFmtId="0" fontId="6" fillId="4" borderId="5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vertical="center" wrapText="1"/>
    </xf>
    <xf numFmtId="0" fontId="1" fillId="3" borderId="26" xfId="0" applyNumberFormat="1" applyFont="1" applyFill="1" applyBorder="1" applyAlignment="1">
      <alignment horizontal="center" vertical="center" wrapText="1"/>
    </xf>
    <xf numFmtId="0" fontId="0" fillId="0" borderId="12" xfId="0" applyNumberFormat="1" applyFont="1" applyFill="1" applyBorder="1" applyAlignment="1">
      <alignment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0" fillId="0" borderId="15" xfId="0" applyNumberFormat="1" applyFont="1" applyFill="1" applyBorder="1" applyAlignment="1">
      <alignment wrapText="1"/>
    </xf>
    <xf numFmtId="0" fontId="2" fillId="2" borderId="16" xfId="0" applyNumberFormat="1" applyFont="1" applyFill="1" applyBorder="1" applyAlignment="1">
      <alignment horizontal="center" vertical="center" wrapText="1"/>
    </xf>
    <xf numFmtId="0" fontId="0" fillId="0" borderId="24" xfId="0" applyNumberFormat="1" applyFont="1" applyFill="1" applyBorder="1" applyAlignment="1">
      <alignment wrapText="1"/>
    </xf>
    <xf numFmtId="0" fontId="0" fillId="0" borderId="21" xfId="0" applyNumberFormat="1" applyFont="1" applyFill="1" applyBorder="1" applyAlignment="1">
      <alignment wrapText="1"/>
    </xf>
    <xf numFmtId="0" fontId="2" fillId="0" borderId="22" xfId="0" applyNumberFormat="1" applyFont="1" applyFill="1" applyBorder="1" applyAlignment="1">
      <alignment horizontal="center" vertical="center" wrapText="1"/>
    </xf>
    <xf numFmtId="0" fontId="0" fillId="0" borderId="25" xfId="0" applyNumberFormat="1" applyFont="1" applyFill="1" applyBorder="1" applyAlignment="1">
      <alignment wrapText="1"/>
    </xf>
    <xf numFmtId="0" fontId="2" fillId="2" borderId="17" xfId="0" applyNumberFormat="1" applyFont="1" applyFill="1" applyBorder="1" applyAlignment="1">
      <alignment horizontal="center" vertical="center" wrapText="1"/>
    </xf>
    <xf numFmtId="0" fontId="0" fillId="0" borderId="23" xfId="0" applyNumberFormat="1" applyFont="1" applyFill="1" applyBorder="1" applyAlignment="1">
      <alignment wrapText="1"/>
    </xf>
    <xf numFmtId="0" fontId="12" fillId="5" borderId="0" xfId="0" applyNumberFormat="1" applyFont="1" applyFill="1" applyBorder="1" applyAlignment="1">
      <alignment vertical="center" wrapText="1"/>
    </xf>
    <xf numFmtId="0" fontId="6" fillId="5" borderId="0" xfId="0" applyNumberFormat="1" applyFont="1" applyFill="1" applyBorder="1" applyAlignment="1">
      <alignment vertical="center" wrapText="1"/>
    </xf>
    <xf numFmtId="0" fontId="6" fillId="3" borderId="26" xfId="0" applyNumberFormat="1" applyFont="1" applyFill="1" applyBorder="1" applyAlignment="1">
      <alignment horizontal="center" vertical="center" wrapText="1"/>
    </xf>
    <xf numFmtId="0" fontId="6" fillId="0" borderId="12" xfId="0" applyNumberFormat="1" applyFont="1" applyFill="1" applyBorder="1" applyAlignment="1">
      <alignment wrapText="1"/>
    </xf>
    <xf numFmtId="0" fontId="10" fillId="3" borderId="1" xfId="0" applyNumberFormat="1" applyFont="1" applyFill="1" applyBorder="1" applyAlignment="1">
      <alignment horizontal="center" vertical="center" wrapText="1"/>
    </xf>
    <xf numFmtId="0" fontId="10" fillId="0" borderId="15" xfId="0" applyNumberFormat="1" applyFont="1" applyFill="1" applyBorder="1" applyAlignment="1">
      <alignment wrapText="1"/>
    </xf>
    <xf numFmtId="0" fontId="10" fillId="3" borderId="26" xfId="0" applyNumberFormat="1" applyFont="1" applyFill="1" applyBorder="1" applyAlignment="1">
      <alignment horizontal="center" vertical="center" wrapText="1"/>
    </xf>
    <xf numFmtId="0" fontId="10" fillId="0" borderId="12" xfId="0" applyNumberFormat="1" applyFont="1" applyFill="1" applyBorder="1" applyAlignment="1">
      <alignment wrapText="1"/>
    </xf>
    <xf numFmtId="0" fontId="6" fillId="2" borderId="16" xfId="0" applyNumberFormat="1" applyFont="1" applyFill="1" applyBorder="1" applyAlignment="1">
      <alignment horizontal="center" vertical="center" wrapText="1"/>
    </xf>
    <xf numFmtId="0" fontId="6" fillId="0" borderId="24" xfId="0" applyNumberFormat="1" applyFont="1" applyFill="1" applyBorder="1" applyAlignment="1">
      <alignment wrapText="1"/>
    </xf>
    <xf numFmtId="0" fontId="10" fillId="0" borderId="21" xfId="0" applyNumberFormat="1" applyFont="1" applyFill="1" applyBorder="1" applyAlignment="1">
      <alignment wrapText="1"/>
    </xf>
    <xf numFmtId="0" fontId="6" fillId="0" borderId="22" xfId="0" applyNumberFormat="1" applyFont="1" applyFill="1" applyBorder="1" applyAlignment="1">
      <alignment horizontal="center" vertical="center" wrapText="1"/>
    </xf>
    <xf numFmtId="0" fontId="6" fillId="0" borderId="25" xfId="0" applyNumberFormat="1" applyFont="1" applyFill="1" applyBorder="1" applyAlignment="1">
      <alignment wrapText="1"/>
    </xf>
    <xf numFmtId="0" fontId="6" fillId="2" borderId="17" xfId="0" applyNumberFormat="1" applyFont="1" applyFill="1" applyBorder="1" applyAlignment="1">
      <alignment horizontal="center" vertical="center" wrapText="1"/>
    </xf>
    <xf numFmtId="0" fontId="6" fillId="0" borderId="23" xfId="0" applyNumberFormat="1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32"/>
  <sheetViews>
    <sheetView tabSelected="1" workbookViewId="0">
      <selection activeCell="E14" sqref="E14"/>
    </sheetView>
  </sheetViews>
  <sheetFormatPr defaultRowHeight="16.5"/>
  <cols>
    <col min="2" max="2" width="30" style="2" customWidth="1"/>
    <col min="3" max="3" width="12" style="2" customWidth="1"/>
    <col min="4" max="4" width="6.625" style="2" customWidth="1"/>
    <col min="5" max="5" width="30" style="2" customWidth="1"/>
    <col min="6" max="6" width="12" customWidth="1"/>
    <col min="8" max="8" width="28" style="2" customWidth="1"/>
    <col min="9" max="9" width="15" style="2" customWidth="1"/>
    <col min="11" max="11" width="15" style="2" customWidth="1"/>
    <col min="12" max="12" width="14" customWidth="1"/>
    <col min="14" max="14" width="40" style="2" customWidth="1"/>
    <col min="15" max="15" width="14" style="2" customWidth="1"/>
    <col min="16" max="16" width="22" style="2" customWidth="1"/>
    <col min="17" max="17" width="40" style="2" customWidth="1"/>
  </cols>
  <sheetData>
    <row r="1" spans="2:17" s="2" customFormat="1" ht="17.2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s="2" customFormat="1" ht="17.25" customHeight="1">
      <c r="B2" s="6" t="s">
        <v>0</v>
      </c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s="2" customFormat="1" ht="17.25" customHeight="1">
      <c r="B3" s="6" t="s">
        <v>1</v>
      </c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s="2" customFormat="1" ht="17.2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s="2" customFormat="1" ht="27.95" customHeight="1">
      <c r="B5" s="91" t="s">
        <v>2</v>
      </c>
      <c r="C5" s="92"/>
      <c r="D5" s="3"/>
      <c r="E5" s="91" t="s">
        <v>3</v>
      </c>
      <c r="F5" s="92"/>
      <c r="G5" s="3"/>
      <c r="H5" s="93" t="s">
        <v>309</v>
      </c>
      <c r="I5" s="94"/>
      <c r="J5" s="3"/>
      <c r="K5" s="91" t="s">
        <v>4</v>
      </c>
      <c r="L5" s="92"/>
      <c r="M5" s="3"/>
      <c r="N5" s="93" t="s">
        <v>5</v>
      </c>
      <c r="O5" s="97"/>
      <c r="P5" s="97"/>
      <c r="Q5" s="94"/>
    </row>
    <row r="6" spans="2:17" s="2" customFormat="1" ht="19.5" customHeight="1">
      <c r="B6" s="9" t="s">
        <v>6</v>
      </c>
      <c r="C6" s="10"/>
      <c r="D6" s="3"/>
      <c r="E6" s="9" t="s">
        <v>6</v>
      </c>
      <c r="F6" s="11"/>
      <c r="G6" s="3"/>
      <c r="H6" s="9" t="s">
        <v>7</v>
      </c>
      <c r="I6" s="10"/>
      <c r="J6" s="3"/>
      <c r="K6" s="12" t="s">
        <v>8</v>
      </c>
      <c r="L6" s="13" t="s">
        <v>9</v>
      </c>
      <c r="M6" s="3"/>
      <c r="N6" s="9" t="s">
        <v>6</v>
      </c>
      <c r="O6" s="100"/>
      <c r="P6" s="101"/>
      <c r="Q6" s="98"/>
    </row>
    <row r="7" spans="2:17" s="2" customFormat="1" ht="20.25" customHeight="1">
      <c r="B7" s="14" t="s">
        <v>10</v>
      </c>
      <c r="C7" s="15"/>
      <c r="D7" s="3"/>
      <c r="E7" s="14" t="s">
        <v>11</v>
      </c>
      <c r="F7" s="16"/>
      <c r="G7" s="3"/>
      <c r="H7" s="17" t="s">
        <v>12</v>
      </c>
      <c r="I7" s="18"/>
      <c r="J7" s="3"/>
      <c r="K7" s="19" t="s">
        <v>13</v>
      </c>
      <c r="L7" s="20" t="s">
        <v>14</v>
      </c>
      <c r="M7" s="3"/>
      <c r="N7" s="14" t="s">
        <v>10</v>
      </c>
      <c r="O7" s="95"/>
      <c r="P7" s="96"/>
      <c r="Q7" s="99"/>
    </row>
    <row r="8" spans="2:17" s="2" customFormat="1" ht="20.25" customHeight="1">
      <c r="B8" s="17" t="s">
        <v>15</v>
      </c>
      <c r="C8" s="18"/>
      <c r="D8" s="3"/>
      <c r="E8" s="17" t="s">
        <v>16</v>
      </c>
      <c r="F8" s="21"/>
      <c r="G8" s="3"/>
      <c r="H8" s="22" t="s">
        <v>17</v>
      </c>
      <c r="I8" s="23" t="e">
        <f>I17*10^((I21-I18)/50)</f>
        <v>#NUM!</v>
      </c>
      <c r="J8" s="3"/>
      <c r="K8" s="19" t="s">
        <v>18</v>
      </c>
      <c r="L8" s="20" t="s">
        <v>14</v>
      </c>
      <c r="M8" s="3"/>
      <c r="N8" s="14" t="s">
        <v>19</v>
      </c>
      <c r="O8" s="24" t="s">
        <v>20</v>
      </c>
      <c r="P8" s="15" t="str">
        <f>INDEX(L7:L20, MATCH(O8, K7:K20, 0), 1)</f>
        <v>16:10</v>
      </c>
      <c r="Q8" s="99"/>
    </row>
    <row r="9" spans="2:17" s="2" customFormat="1" ht="20.25" customHeight="1">
      <c r="B9" s="9" t="s">
        <v>21</v>
      </c>
      <c r="C9" s="25">
        <f>C8-C6</f>
        <v>0</v>
      </c>
      <c r="D9" s="3"/>
      <c r="E9" s="26" t="s">
        <v>22</v>
      </c>
      <c r="F9" s="27" t="e">
        <f>LOG(F7/F8,10)</f>
        <v>#DIV/0!</v>
      </c>
      <c r="G9" s="3"/>
      <c r="H9" s="3"/>
      <c r="I9" s="3"/>
      <c r="J9" s="3"/>
      <c r="K9" s="19" t="s">
        <v>23</v>
      </c>
      <c r="L9" s="20" t="s">
        <v>14</v>
      </c>
      <c r="M9" s="3"/>
      <c r="N9" s="17" t="s">
        <v>24</v>
      </c>
      <c r="O9" s="28" t="s">
        <v>25</v>
      </c>
      <c r="P9" s="18" t="str">
        <f>INDEX(L7:L20, MATCH(O9, K7:K20, 0), 1)</f>
        <v>16:9</v>
      </c>
      <c r="Q9" s="99"/>
    </row>
    <row r="10" spans="2:17" s="2" customFormat="1" ht="24" customHeight="1">
      <c r="B10" s="17" t="s">
        <v>26</v>
      </c>
      <c r="C10" s="29">
        <f>10^(C9/50)</f>
        <v>1</v>
      </c>
      <c r="D10" s="3"/>
      <c r="E10" s="22" t="s">
        <v>15</v>
      </c>
      <c r="F10" s="23" t="e">
        <f>F6+50*F9</f>
        <v>#DIV/0!</v>
      </c>
      <c r="G10" s="3"/>
      <c r="H10" s="3"/>
      <c r="I10" s="3"/>
      <c r="J10" s="3"/>
      <c r="K10" s="19" t="s">
        <v>25</v>
      </c>
      <c r="L10" s="20" t="s">
        <v>14</v>
      </c>
      <c r="M10" s="3"/>
      <c r="N10" s="9" t="s">
        <v>4</v>
      </c>
      <c r="O10" s="30" t="s">
        <v>27</v>
      </c>
      <c r="P10" s="31" t="s">
        <v>28</v>
      </c>
      <c r="Q10" s="13" t="s">
        <v>29</v>
      </c>
    </row>
    <row r="11" spans="2:17" s="2" customFormat="1" ht="24" customHeight="1">
      <c r="B11" s="32" t="s">
        <v>30</v>
      </c>
      <c r="C11" s="33">
        <f>C7*1/C10</f>
        <v>0</v>
      </c>
      <c r="D11" s="3"/>
      <c r="E11" s="3"/>
      <c r="F11" s="3"/>
      <c r="G11" s="3"/>
      <c r="H11" s="3"/>
      <c r="I11" s="3"/>
      <c r="J11" s="3"/>
      <c r="K11" s="19" t="s">
        <v>31</v>
      </c>
      <c r="L11" s="20" t="s">
        <v>32</v>
      </c>
      <c r="M11" s="3"/>
      <c r="N11" s="14" t="s">
        <v>33</v>
      </c>
      <c r="O11" s="34">
        <f>O6</f>
        <v>0</v>
      </c>
      <c r="P11" s="35">
        <f>O7*1.11</f>
        <v>0</v>
      </c>
      <c r="Q11" s="36" t="s">
        <v>34</v>
      </c>
    </row>
    <row r="12" spans="2:17" s="2" customFormat="1" ht="24" customHeight="1">
      <c r="B12" s="14" t="s">
        <v>35</v>
      </c>
      <c r="C12" s="37">
        <f>ROUND(C11,2)</f>
        <v>0</v>
      </c>
      <c r="D12" s="3"/>
      <c r="E12" s="3"/>
      <c r="F12" s="3"/>
      <c r="G12" s="3"/>
      <c r="H12" s="3"/>
      <c r="I12" s="3"/>
      <c r="J12" s="3"/>
      <c r="K12" s="19" t="s">
        <v>36</v>
      </c>
      <c r="L12" s="20" t="s">
        <v>14</v>
      </c>
      <c r="M12" s="3"/>
      <c r="N12" s="14" t="s">
        <v>37</v>
      </c>
      <c r="O12" s="34">
        <f>O6</f>
        <v>0</v>
      </c>
      <c r="P12" s="35">
        <f>O7/1.11</f>
        <v>0</v>
      </c>
      <c r="Q12" s="36" t="s">
        <v>38</v>
      </c>
    </row>
    <row r="13" spans="2:17" s="2" customFormat="1" ht="24" customHeight="1">
      <c r="B13" s="17" t="s">
        <v>39</v>
      </c>
      <c r="C13" s="38">
        <f>ROUNDDOWN(C11,2)</f>
        <v>0</v>
      </c>
      <c r="D13" s="3"/>
      <c r="E13" s="3"/>
      <c r="F13" s="3"/>
      <c r="G13" s="3"/>
      <c r="H13" s="3"/>
      <c r="I13" s="3"/>
      <c r="J13" s="3"/>
      <c r="K13" s="19" t="s">
        <v>40</v>
      </c>
      <c r="L13" s="20" t="s">
        <v>32</v>
      </c>
      <c r="M13" s="3"/>
      <c r="N13" s="14" t="s">
        <v>41</v>
      </c>
      <c r="O13" s="34">
        <f>O6</f>
        <v>0</v>
      </c>
      <c r="P13" s="35">
        <f>O7*0.85</f>
        <v>0</v>
      </c>
      <c r="Q13" s="36" t="s">
        <v>42</v>
      </c>
    </row>
    <row r="14" spans="2:17" s="2" customFormat="1" ht="24" customHeight="1">
      <c r="B14" s="3"/>
      <c r="C14" s="3"/>
      <c r="D14" s="3"/>
      <c r="E14" s="3"/>
      <c r="F14" s="3"/>
      <c r="G14" s="3"/>
      <c r="H14" s="3"/>
      <c r="I14" s="3"/>
      <c r="J14" s="3"/>
      <c r="K14" s="19" t="s">
        <v>43</v>
      </c>
      <c r="L14" s="20" t="s">
        <v>14</v>
      </c>
      <c r="M14" s="3"/>
      <c r="N14" s="39" t="s">
        <v>44</v>
      </c>
      <c r="O14" s="34">
        <f>O6</f>
        <v>0</v>
      </c>
      <c r="P14" s="35">
        <f>O7/0.85</f>
        <v>0</v>
      </c>
      <c r="Q14" s="36" t="s">
        <v>45</v>
      </c>
    </row>
    <row r="15" spans="2:17" s="2" customFormat="1" ht="24" customHeight="1">
      <c r="B15" s="3"/>
      <c r="C15" s="3"/>
      <c r="D15" s="3"/>
      <c r="E15" s="3"/>
      <c r="F15" s="3"/>
      <c r="G15" s="3"/>
      <c r="H15" s="3"/>
      <c r="I15" s="3"/>
      <c r="J15" s="3"/>
      <c r="K15" s="19" t="s">
        <v>20</v>
      </c>
      <c r="L15" s="20" t="s">
        <v>46</v>
      </c>
      <c r="M15" s="3"/>
      <c r="N15" s="14" t="s">
        <v>47</v>
      </c>
      <c r="O15" s="34">
        <f>O6</f>
        <v>0</v>
      </c>
      <c r="P15" s="35">
        <f>O7*1.33</f>
        <v>0</v>
      </c>
      <c r="Q15" s="36" t="s">
        <v>48</v>
      </c>
    </row>
    <row r="16" spans="2:17" s="2" customFormat="1" ht="24" customHeight="1">
      <c r="B16" s="3"/>
      <c r="C16" s="3"/>
      <c r="D16" s="3"/>
      <c r="E16" s="3"/>
      <c r="F16" s="3"/>
      <c r="G16" s="3"/>
      <c r="H16" s="3"/>
      <c r="I16" s="3"/>
      <c r="J16" s="3"/>
      <c r="K16" s="19" t="s">
        <v>49</v>
      </c>
      <c r="L16" s="20" t="s">
        <v>46</v>
      </c>
      <c r="M16" s="3"/>
      <c r="N16" s="17" t="s">
        <v>50</v>
      </c>
      <c r="O16" s="40">
        <f>O6</f>
        <v>0</v>
      </c>
      <c r="P16" s="41">
        <f>O7/1.33</f>
        <v>0</v>
      </c>
      <c r="Q16" s="42" t="s">
        <v>51</v>
      </c>
    </row>
    <row r="17" spans="2:17">
      <c r="B17" s="3"/>
      <c r="C17" s="3"/>
      <c r="D17" s="3"/>
      <c r="E17" s="3"/>
      <c r="F17" s="3"/>
      <c r="G17" s="3"/>
      <c r="H17" s="43" t="s">
        <v>52</v>
      </c>
      <c r="I17" s="43">
        <v>800</v>
      </c>
      <c r="J17" s="3"/>
      <c r="K17" s="19" t="s">
        <v>53</v>
      </c>
      <c r="L17" s="20" t="s">
        <v>46</v>
      </c>
      <c r="M17" s="3"/>
      <c r="N17" s="3"/>
      <c r="O17" s="3"/>
      <c r="P17" s="3"/>
      <c r="Q17" s="3"/>
    </row>
    <row r="18" spans="2:17" s="2" customFormat="1" ht="18.75" customHeight="1">
      <c r="B18" s="3"/>
      <c r="C18" s="3"/>
      <c r="D18" s="3"/>
      <c r="E18" s="3"/>
      <c r="F18" s="3"/>
      <c r="G18" s="3"/>
      <c r="H18" s="43" t="s">
        <v>54</v>
      </c>
      <c r="I18" s="43">
        <v>11</v>
      </c>
      <c r="J18" s="3"/>
      <c r="K18" s="19" t="s">
        <v>55</v>
      </c>
      <c r="L18" s="20" t="s">
        <v>46</v>
      </c>
      <c r="M18" s="3"/>
      <c r="N18" s="4" t="s">
        <v>56</v>
      </c>
      <c r="O18" s="4"/>
      <c r="P18" s="4"/>
      <c r="Q18" s="4"/>
    </row>
    <row r="19" spans="2:17" s="2" customFormat="1" ht="18.75" customHeight="1">
      <c r="B19" s="3"/>
      <c r="C19" s="3"/>
      <c r="D19" s="3"/>
      <c r="E19" s="3"/>
      <c r="F19" s="3"/>
      <c r="G19" s="3"/>
      <c r="H19" s="43" t="s">
        <v>310</v>
      </c>
      <c r="I19" s="43">
        <f>(I17*I18)/11</f>
        <v>800</v>
      </c>
      <c r="J19" s="3"/>
      <c r="K19" s="19" t="s">
        <v>57</v>
      </c>
      <c r="L19" s="20" t="s">
        <v>58</v>
      </c>
      <c r="M19" s="3"/>
      <c r="N19" s="4" t="s">
        <v>59</v>
      </c>
      <c r="O19" s="4"/>
      <c r="P19" s="4"/>
      <c r="Q19" s="4"/>
    </row>
    <row r="20" spans="2:17" s="2" customFormat="1" ht="18.75" customHeight="1">
      <c r="B20" s="3"/>
      <c r="C20" s="3"/>
      <c r="D20" s="3"/>
      <c r="E20" s="3"/>
      <c r="F20" s="3"/>
      <c r="G20" s="3"/>
      <c r="H20" s="43" t="s">
        <v>22</v>
      </c>
      <c r="I20" s="43" t="e">
        <f>LOG(I6/I17,10)</f>
        <v>#NUM!</v>
      </c>
      <c r="J20" s="3"/>
      <c r="K20" s="44" t="s">
        <v>60</v>
      </c>
      <c r="L20" s="45" t="s">
        <v>58</v>
      </c>
      <c r="M20" s="3"/>
      <c r="N20" s="4" t="s">
        <v>61</v>
      </c>
      <c r="O20" s="4"/>
      <c r="P20" s="4"/>
      <c r="Q20" s="4"/>
    </row>
    <row r="21" spans="2:17" s="2" customFormat="1" ht="17.25" customHeight="1">
      <c r="B21" s="3"/>
      <c r="C21" s="3"/>
      <c r="D21" s="3"/>
      <c r="E21" s="3"/>
      <c r="F21" s="3"/>
      <c r="G21" s="3"/>
      <c r="H21" s="43" t="s">
        <v>62</v>
      </c>
      <c r="I21" s="43" t="e">
        <f>I7+50*I20</f>
        <v>#NUM!</v>
      </c>
      <c r="J21" s="3"/>
      <c r="K21" s="3"/>
      <c r="L21" s="3"/>
      <c r="M21" s="3"/>
      <c r="N21" s="3"/>
      <c r="O21" s="3"/>
      <c r="P21" s="3"/>
      <c r="Q21" s="3"/>
    </row>
    <row r="22" spans="2:17" s="2" customFormat="1" ht="27.95" customHeight="1">
      <c r="B22" s="91" t="s">
        <v>63</v>
      </c>
      <c r="C22" s="92"/>
      <c r="D22" s="3"/>
      <c r="E22" s="3"/>
      <c r="F22" s="3"/>
      <c r="G22" s="3"/>
      <c r="H22" s="43"/>
      <c r="I22" s="43"/>
      <c r="J22" s="3"/>
      <c r="K22" s="3"/>
      <c r="L22" s="3"/>
      <c r="M22" s="3"/>
      <c r="N22" s="3"/>
      <c r="O22" s="3"/>
      <c r="P22" s="3"/>
      <c r="Q22" s="3"/>
    </row>
    <row r="23" spans="2:17" s="2" customFormat="1" ht="21.95" customHeight="1">
      <c r="B23" s="9" t="s">
        <v>64</v>
      </c>
      <c r="C23" s="10"/>
      <c r="D23" s="3"/>
      <c r="E23" s="3"/>
      <c r="F23" s="3"/>
      <c r="G23" s="3"/>
      <c r="H23" s="102" t="s">
        <v>311</v>
      </c>
      <c r="I23" s="102"/>
      <c r="J23" s="3"/>
      <c r="K23" s="3"/>
      <c r="L23" s="3"/>
      <c r="M23" s="3"/>
      <c r="N23" s="3"/>
      <c r="O23" s="3"/>
      <c r="P23" s="3"/>
      <c r="Q23" s="3"/>
    </row>
    <row r="24" spans="2:17" s="2" customFormat="1" ht="21.95" customHeight="1">
      <c r="B24" s="14" t="s">
        <v>65</v>
      </c>
      <c r="C24" s="15"/>
      <c r="D24" s="3"/>
      <c r="E24" s="3"/>
      <c r="F24" s="3"/>
      <c r="G24" s="3"/>
      <c r="H24" s="103" t="s">
        <v>312</v>
      </c>
      <c r="I24" s="103"/>
      <c r="J24" s="3"/>
      <c r="K24" s="3"/>
      <c r="L24" s="3"/>
      <c r="M24" s="3"/>
      <c r="N24" s="3"/>
      <c r="O24" s="3"/>
      <c r="P24" s="3"/>
      <c r="Q24" s="3"/>
    </row>
    <row r="25" spans="2:17" s="2" customFormat="1" ht="21.95" customHeight="1">
      <c r="B25" s="46" t="s">
        <v>66</v>
      </c>
      <c r="C25" s="47"/>
      <c r="D25" s="3"/>
      <c r="E25" s="43"/>
      <c r="F25" s="3"/>
      <c r="G25" s="3"/>
      <c r="H25" s="103" t="s">
        <v>313</v>
      </c>
      <c r="I25" s="103"/>
      <c r="J25" s="3"/>
      <c r="K25" s="3"/>
      <c r="L25" s="3"/>
      <c r="M25" s="3"/>
      <c r="N25" s="3"/>
      <c r="O25" s="3"/>
      <c r="P25" s="3"/>
      <c r="Q25" s="3"/>
    </row>
    <row r="26" spans="2:17" s="2" customFormat="1" ht="21.95" customHeight="1">
      <c r="B26" s="9" t="s">
        <v>67</v>
      </c>
      <c r="C26" s="48" t="e">
        <f>B32*C24</f>
        <v>#NUM!</v>
      </c>
      <c r="D26" s="3"/>
      <c r="E26" s="3"/>
      <c r="F26" s="3"/>
      <c r="G26" s="3"/>
      <c r="H26" s="103" t="s">
        <v>314</v>
      </c>
      <c r="I26" s="103"/>
      <c r="J26" s="3"/>
      <c r="K26" s="3"/>
      <c r="L26" s="3"/>
      <c r="M26" s="3"/>
      <c r="N26" s="3"/>
      <c r="O26" s="3"/>
      <c r="P26" s="3"/>
      <c r="Q26" s="3"/>
    </row>
    <row r="27" spans="2:17" s="2" customFormat="1" ht="21.95" customHeight="1">
      <c r="B27" s="14" t="s">
        <v>68</v>
      </c>
      <c r="C27" s="37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3"/>
      <c r="E27" s="3"/>
      <c r="F27" s="3"/>
      <c r="G27" s="3"/>
      <c r="H27" s="103" t="s">
        <v>315</v>
      </c>
      <c r="I27" s="103"/>
      <c r="J27" s="3"/>
      <c r="K27" s="3"/>
      <c r="L27" s="3"/>
      <c r="M27" s="3"/>
      <c r="N27" s="3"/>
      <c r="O27" s="3"/>
      <c r="P27" s="3"/>
      <c r="Q27" s="3"/>
    </row>
    <row r="28" spans="2:17" s="2" customFormat="1" ht="20.25" customHeight="1">
      <c r="B28" s="17" t="s">
        <v>69</v>
      </c>
      <c r="C28" s="38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2:17">
      <c r="B30" s="1" t="e">
        <f>LOG(C25/I17,10)</f>
        <v>#NUM!</v>
      </c>
    </row>
    <row r="31" spans="2:17">
      <c r="B31" s="1" t="e">
        <f>C23+50*B30</f>
        <v>#NUM!</v>
      </c>
    </row>
    <row r="32" spans="2:17">
      <c r="B32" s="1" t="e">
        <f>I17*10^((B31-I18)/50)</f>
        <v>#NUM!</v>
      </c>
    </row>
  </sheetData>
  <mergeCells count="14">
    <mergeCell ref="H23:I23"/>
    <mergeCell ref="H24:I24"/>
    <mergeCell ref="H25:I25"/>
    <mergeCell ref="H26:I26"/>
    <mergeCell ref="H27:I27"/>
    <mergeCell ref="B22:C22"/>
    <mergeCell ref="H5:I5"/>
    <mergeCell ref="K5:L5"/>
    <mergeCell ref="O7:P7"/>
    <mergeCell ref="N5:Q5"/>
    <mergeCell ref="B5:C5"/>
    <mergeCell ref="Q6:Q9"/>
    <mergeCell ref="O6:P6"/>
    <mergeCell ref="E5:F5"/>
  </mergeCells>
  <phoneticPr fontId="11" type="noConversion"/>
  <dataValidations count="1">
    <dataValidation type="list" allowBlank="1" showInputMessage="1" showErrorMessage="1" sqref="O8:O9">
      <formula1>$K$7:$K$20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Q32"/>
  <sheetViews>
    <sheetView workbookViewId="0">
      <selection activeCell="E25" sqref="E25"/>
    </sheetView>
  </sheetViews>
  <sheetFormatPr defaultRowHeight="16.5"/>
  <cols>
    <col min="2" max="2" width="35.5" style="2" bestFit="1" customWidth="1"/>
    <col min="3" max="3" width="12" style="2" customWidth="1"/>
    <col min="4" max="4" width="6.625" style="2" customWidth="1"/>
    <col min="5" max="5" width="30" style="2" customWidth="1"/>
    <col min="6" max="6" width="12" customWidth="1"/>
    <col min="8" max="8" width="28" style="2" customWidth="1"/>
    <col min="9" max="9" width="15" style="2" customWidth="1"/>
    <col min="11" max="11" width="15" style="2" customWidth="1"/>
    <col min="12" max="12" width="14" customWidth="1"/>
    <col min="14" max="14" width="40" style="2" customWidth="1"/>
    <col min="15" max="15" width="14" style="2" customWidth="1"/>
    <col min="16" max="16" width="22" style="2" customWidth="1"/>
    <col min="17" max="17" width="40" style="2" customWidth="1"/>
  </cols>
  <sheetData>
    <row r="1" spans="2:17" s="2" customFormat="1" ht="17.2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s="2" customFormat="1" ht="17.25" customHeight="1">
      <c r="B2" s="6" t="s">
        <v>70</v>
      </c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s="2" customFormat="1" ht="17.25" customHeight="1">
      <c r="B3" s="6" t="s">
        <v>71</v>
      </c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s="2" customFormat="1" ht="17.2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s="2" customFormat="1" ht="27.95" customHeight="1">
      <c r="B5" s="91" t="s">
        <v>72</v>
      </c>
      <c r="C5" s="92"/>
      <c r="D5" s="3"/>
      <c r="E5" s="91" t="s">
        <v>73</v>
      </c>
      <c r="F5" s="92"/>
      <c r="G5" s="3"/>
      <c r="H5" s="93" t="s">
        <v>316</v>
      </c>
      <c r="I5" s="94"/>
      <c r="J5" s="3"/>
      <c r="K5" s="91" t="s">
        <v>74</v>
      </c>
      <c r="L5" s="92"/>
      <c r="M5" s="3"/>
      <c r="N5" s="93" t="s">
        <v>75</v>
      </c>
      <c r="O5" s="97"/>
      <c r="P5" s="97"/>
      <c r="Q5" s="94"/>
    </row>
    <row r="6" spans="2:17" s="2" customFormat="1" ht="19.5" customHeight="1">
      <c r="B6" s="9" t="s">
        <v>76</v>
      </c>
      <c r="C6" s="10"/>
      <c r="D6" s="3"/>
      <c r="E6" s="9" t="s">
        <v>76</v>
      </c>
      <c r="F6" s="11"/>
      <c r="G6" s="3"/>
      <c r="H6" s="9" t="s">
        <v>77</v>
      </c>
      <c r="I6" s="10"/>
      <c r="J6" s="3"/>
      <c r="K6" s="12" t="s">
        <v>78</v>
      </c>
      <c r="L6" s="13" t="s">
        <v>79</v>
      </c>
      <c r="M6" s="3"/>
      <c r="N6" s="9" t="s">
        <v>76</v>
      </c>
      <c r="O6" s="100"/>
      <c r="P6" s="101"/>
      <c r="Q6" s="98"/>
    </row>
    <row r="7" spans="2:17" s="2" customFormat="1" ht="20.25" customHeight="1">
      <c r="B7" s="14" t="s">
        <v>80</v>
      </c>
      <c r="C7" s="15"/>
      <c r="D7" s="3"/>
      <c r="E7" s="14" t="s">
        <v>81</v>
      </c>
      <c r="F7" s="16"/>
      <c r="G7" s="3"/>
      <c r="H7" s="17" t="s">
        <v>82</v>
      </c>
      <c r="I7" s="18"/>
      <c r="J7" s="3"/>
      <c r="K7" s="19" t="s">
        <v>13</v>
      </c>
      <c r="L7" s="20" t="s">
        <v>14</v>
      </c>
      <c r="M7" s="3"/>
      <c r="N7" s="14" t="s">
        <v>80</v>
      </c>
      <c r="O7" s="95"/>
      <c r="P7" s="96"/>
      <c r="Q7" s="99"/>
    </row>
    <row r="8" spans="2:17" s="2" customFormat="1" ht="20.25" customHeight="1">
      <c r="B8" s="17" t="s">
        <v>83</v>
      </c>
      <c r="C8" s="18"/>
      <c r="D8" s="3"/>
      <c r="E8" s="17" t="s">
        <v>84</v>
      </c>
      <c r="F8" s="21"/>
      <c r="G8" s="3"/>
      <c r="H8" s="22" t="s">
        <v>17</v>
      </c>
      <c r="I8" s="23" t="e">
        <f>I17*10^((I21-I18)/50)</f>
        <v>#NUM!</v>
      </c>
      <c r="J8" s="3"/>
      <c r="K8" s="19" t="s">
        <v>18</v>
      </c>
      <c r="L8" s="20" t="s">
        <v>14</v>
      </c>
      <c r="M8" s="3"/>
      <c r="N8" s="14" t="s">
        <v>85</v>
      </c>
      <c r="O8" s="24" t="s">
        <v>20</v>
      </c>
      <c r="P8" s="15" t="str">
        <f>INDEX(L7:L20, MATCH(O8, K7:K20, 0), 1)</f>
        <v>16:10</v>
      </c>
      <c r="Q8" s="99"/>
    </row>
    <row r="9" spans="2:17" s="2" customFormat="1" ht="20.25" customHeight="1">
      <c r="B9" s="9" t="s">
        <v>86</v>
      </c>
      <c r="C9" s="25">
        <f>C8-C6</f>
        <v>0</v>
      </c>
      <c r="D9" s="3"/>
      <c r="E9" s="26" t="s">
        <v>87</v>
      </c>
      <c r="F9" s="27" t="e">
        <f>LOG(F7/F8,10)</f>
        <v>#DIV/0!</v>
      </c>
      <c r="G9" s="3"/>
      <c r="H9" s="3"/>
      <c r="I9" s="3"/>
      <c r="J9" s="3"/>
      <c r="K9" s="19" t="s">
        <v>23</v>
      </c>
      <c r="L9" s="20" t="s">
        <v>14</v>
      </c>
      <c r="M9" s="3"/>
      <c r="N9" s="17" t="s">
        <v>88</v>
      </c>
      <c r="O9" s="28" t="s">
        <v>25</v>
      </c>
      <c r="P9" s="18" t="str">
        <f>INDEX(L7:L20, MATCH(O9, K7:K20, 0), 1)</f>
        <v>16:9</v>
      </c>
      <c r="Q9" s="99"/>
    </row>
    <row r="10" spans="2:17" s="2" customFormat="1" ht="24" customHeight="1">
      <c r="B10" s="17" t="s">
        <v>89</v>
      </c>
      <c r="C10" s="29">
        <f>10^(C9/50)</f>
        <v>1</v>
      </c>
      <c r="D10" s="3"/>
      <c r="E10" s="22" t="s">
        <v>83</v>
      </c>
      <c r="F10" s="23" t="e">
        <f>F6+50*F9</f>
        <v>#DIV/0!</v>
      </c>
      <c r="G10" s="3"/>
      <c r="H10" s="3"/>
      <c r="I10" s="3"/>
      <c r="J10" s="3"/>
      <c r="K10" s="19" t="s">
        <v>25</v>
      </c>
      <c r="L10" s="20" t="s">
        <v>14</v>
      </c>
      <c r="M10" s="3"/>
      <c r="N10" s="9" t="s">
        <v>90</v>
      </c>
      <c r="O10" s="30" t="s">
        <v>91</v>
      </c>
      <c r="P10" s="31" t="s">
        <v>92</v>
      </c>
      <c r="Q10" s="13" t="s">
        <v>93</v>
      </c>
    </row>
    <row r="11" spans="2:17" s="2" customFormat="1" ht="24" customHeight="1">
      <c r="B11" s="32" t="s">
        <v>94</v>
      </c>
      <c r="C11" s="33">
        <f>C7*1/C10</f>
        <v>0</v>
      </c>
      <c r="D11" s="3"/>
      <c r="E11" s="3"/>
      <c r="F11" s="3"/>
      <c r="G11" s="3"/>
      <c r="H11" s="3"/>
      <c r="I11" s="3"/>
      <c r="J11" s="3"/>
      <c r="K11" s="19" t="s">
        <v>31</v>
      </c>
      <c r="L11" s="20" t="s">
        <v>32</v>
      </c>
      <c r="M11" s="3"/>
      <c r="N11" s="14" t="s">
        <v>95</v>
      </c>
      <c r="O11" s="34">
        <f>O6</f>
        <v>0</v>
      </c>
      <c r="P11" s="35">
        <f>O7*1.11</f>
        <v>0</v>
      </c>
      <c r="Q11" s="36" t="s">
        <v>96</v>
      </c>
    </row>
    <row r="12" spans="2:17" s="2" customFormat="1" ht="24" customHeight="1">
      <c r="B12" s="14" t="s">
        <v>97</v>
      </c>
      <c r="C12" s="37">
        <f>ROUND(C11,2)</f>
        <v>0</v>
      </c>
      <c r="D12" s="3"/>
      <c r="E12" s="3"/>
      <c r="F12" s="3"/>
      <c r="G12" s="3"/>
      <c r="H12" s="3"/>
      <c r="I12" s="3"/>
      <c r="J12" s="3"/>
      <c r="K12" s="19" t="s">
        <v>36</v>
      </c>
      <c r="L12" s="20" t="s">
        <v>14</v>
      </c>
      <c r="M12" s="3"/>
      <c r="N12" s="14" t="s">
        <v>98</v>
      </c>
      <c r="O12" s="34">
        <f>O6</f>
        <v>0</v>
      </c>
      <c r="P12" s="35">
        <f>O7/1.11</f>
        <v>0</v>
      </c>
      <c r="Q12" s="36" t="s">
        <v>99</v>
      </c>
    </row>
    <row r="13" spans="2:17" s="2" customFormat="1" ht="24" customHeight="1">
      <c r="B13" s="17" t="s">
        <v>100</v>
      </c>
      <c r="C13" s="38">
        <f>ROUNDDOWN(C11,2)</f>
        <v>0</v>
      </c>
      <c r="D13" s="3"/>
      <c r="E13" s="3"/>
      <c r="F13" s="3"/>
      <c r="G13" s="3"/>
      <c r="H13" s="3"/>
      <c r="I13" s="3"/>
      <c r="J13" s="3"/>
      <c r="K13" s="19" t="s">
        <v>40</v>
      </c>
      <c r="L13" s="20" t="s">
        <v>32</v>
      </c>
      <c r="M13" s="3"/>
      <c r="N13" s="14" t="s">
        <v>101</v>
      </c>
      <c r="O13" s="34">
        <f>O6</f>
        <v>0</v>
      </c>
      <c r="P13" s="35">
        <f>O7*0.85</f>
        <v>0</v>
      </c>
      <c r="Q13" s="36" t="s">
        <v>102</v>
      </c>
    </row>
    <row r="14" spans="2:17" s="2" customFormat="1" ht="24" customHeight="1">
      <c r="B14" s="3"/>
      <c r="C14" s="3"/>
      <c r="D14" s="3"/>
      <c r="E14" s="3"/>
      <c r="F14" s="3"/>
      <c r="G14" s="3"/>
      <c r="H14" s="3"/>
      <c r="I14" s="3"/>
      <c r="J14" s="3"/>
      <c r="K14" s="19" t="s">
        <v>43</v>
      </c>
      <c r="L14" s="20" t="s">
        <v>14</v>
      </c>
      <c r="M14" s="3"/>
      <c r="N14" s="39" t="s">
        <v>103</v>
      </c>
      <c r="O14" s="34">
        <f>O6</f>
        <v>0</v>
      </c>
      <c r="P14" s="35">
        <f>O7/0.85</f>
        <v>0</v>
      </c>
      <c r="Q14" s="36" t="s">
        <v>104</v>
      </c>
    </row>
    <row r="15" spans="2:17" s="2" customFormat="1" ht="24" customHeight="1">
      <c r="B15" s="3"/>
      <c r="C15" s="3"/>
      <c r="D15" s="3"/>
      <c r="E15" s="3"/>
      <c r="F15" s="3"/>
      <c r="G15" s="3"/>
      <c r="H15" s="3"/>
      <c r="I15" s="3"/>
      <c r="J15" s="3"/>
      <c r="K15" s="19" t="s">
        <v>20</v>
      </c>
      <c r="L15" s="20" t="s">
        <v>46</v>
      </c>
      <c r="M15" s="3"/>
      <c r="N15" s="14" t="s">
        <v>105</v>
      </c>
      <c r="O15" s="34">
        <f>O6</f>
        <v>0</v>
      </c>
      <c r="P15" s="35">
        <f>O7*1.33</f>
        <v>0</v>
      </c>
      <c r="Q15" s="36" t="s">
        <v>106</v>
      </c>
    </row>
    <row r="16" spans="2:17" s="2" customFormat="1" ht="24" customHeight="1">
      <c r="B16" s="3"/>
      <c r="C16" s="3"/>
      <c r="D16" s="3"/>
      <c r="E16" s="3"/>
      <c r="F16" s="3"/>
      <c r="G16" s="3"/>
      <c r="H16" s="3"/>
      <c r="I16" s="3"/>
      <c r="J16" s="3"/>
      <c r="K16" s="19" t="s">
        <v>49</v>
      </c>
      <c r="L16" s="20" t="s">
        <v>46</v>
      </c>
      <c r="M16" s="3"/>
      <c r="N16" s="17" t="s">
        <v>107</v>
      </c>
      <c r="O16" s="40">
        <f>O6</f>
        <v>0</v>
      </c>
      <c r="P16" s="41">
        <f>O7/1.33</f>
        <v>0</v>
      </c>
      <c r="Q16" s="42" t="s">
        <v>108</v>
      </c>
    </row>
    <row r="17" spans="2:17">
      <c r="B17" s="3"/>
      <c r="C17" s="3"/>
      <c r="D17" s="3"/>
      <c r="E17" s="3"/>
      <c r="F17" s="3"/>
      <c r="G17" s="3"/>
      <c r="H17" s="43" t="s">
        <v>109</v>
      </c>
      <c r="I17" s="43">
        <v>800</v>
      </c>
      <c r="J17" s="3"/>
      <c r="K17" s="19" t="s">
        <v>53</v>
      </c>
      <c r="L17" s="20" t="s">
        <v>46</v>
      </c>
      <c r="M17" s="3"/>
      <c r="N17" s="3"/>
      <c r="O17" s="3"/>
      <c r="P17" s="3"/>
      <c r="Q17" s="3"/>
    </row>
    <row r="18" spans="2:17" s="2" customFormat="1" ht="18.75" customHeight="1">
      <c r="B18" s="3"/>
      <c r="C18" s="3"/>
      <c r="D18" s="3"/>
      <c r="E18" s="3"/>
      <c r="F18" s="3"/>
      <c r="G18" s="3"/>
      <c r="H18" s="43" t="s">
        <v>110</v>
      </c>
      <c r="I18" s="43">
        <v>11</v>
      </c>
      <c r="J18" s="3"/>
      <c r="K18" s="19" t="s">
        <v>55</v>
      </c>
      <c r="L18" s="20" t="s">
        <v>46</v>
      </c>
      <c r="M18" s="3"/>
      <c r="N18" s="5" t="s">
        <v>111</v>
      </c>
      <c r="O18" s="5"/>
      <c r="P18" s="5"/>
      <c r="Q18" s="5"/>
    </row>
    <row r="19" spans="2:17" s="2" customFormat="1" ht="18.75" customHeight="1">
      <c r="B19" s="3"/>
      <c r="C19" s="3"/>
      <c r="D19" s="3"/>
      <c r="E19" s="3"/>
      <c r="F19" s="3"/>
      <c r="G19" s="3"/>
      <c r="H19" s="43" t="s">
        <v>317</v>
      </c>
      <c r="I19" s="43">
        <f>(I17*I18)/11</f>
        <v>800</v>
      </c>
      <c r="J19" s="3"/>
      <c r="K19" s="19" t="s">
        <v>57</v>
      </c>
      <c r="L19" s="20" t="s">
        <v>58</v>
      </c>
      <c r="M19" s="3"/>
      <c r="N19" s="5" t="s">
        <v>59</v>
      </c>
      <c r="O19" s="5"/>
      <c r="P19" s="5"/>
      <c r="Q19" s="5"/>
    </row>
    <row r="20" spans="2:17" s="2" customFormat="1" ht="18.75" customHeight="1">
      <c r="B20" s="3"/>
      <c r="C20" s="3"/>
      <c r="D20" s="3"/>
      <c r="E20" s="3"/>
      <c r="F20" s="3"/>
      <c r="G20" s="3"/>
      <c r="H20" s="43" t="s">
        <v>87</v>
      </c>
      <c r="I20" s="43" t="e">
        <f>LOG(I6/I17,10)</f>
        <v>#NUM!</v>
      </c>
      <c r="J20" s="3"/>
      <c r="K20" s="44" t="s">
        <v>60</v>
      </c>
      <c r="L20" s="45" t="s">
        <v>58</v>
      </c>
      <c r="M20" s="3"/>
      <c r="N20" s="5" t="s">
        <v>61</v>
      </c>
      <c r="O20" s="5"/>
      <c r="P20" s="5"/>
      <c r="Q20" s="5"/>
    </row>
    <row r="21" spans="2:17" s="2" customFormat="1" ht="17.25" customHeight="1">
      <c r="B21" s="3"/>
      <c r="C21" s="3"/>
      <c r="D21" s="3"/>
      <c r="E21" s="3"/>
      <c r="F21" s="3"/>
      <c r="G21" s="3"/>
      <c r="H21" s="43" t="s">
        <v>112</v>
      </c>
      <c r="I21" s="43" t="e">
        <f>I7+50*I20</f>
        <v>#NUM!</v>
      </c>
      <c r="J21" s="3"/>
      <c r="K21" s="3"/>
      <c r="L21" s="3"/>
      <c r="M21" s="3"/>
      <c r="N21" s="3"/>
      <c r="O21" s="3"/>
      <c r="P21" s="3"/>
      <c r="Q21" s="3"/>
    </row>
    <row r="22" spans="2:17" s="2" customFormat="1" ht="27.95" customHeight="1">
      <c r="B22" s="91" t="s">
        <v>113</v>
      </c>
      <c r="C22" s="92"/>
      <c r="D22" s="3"/>
      <c r="E22" s="3"/>
      <c r="F22" s="3"/>
      <c r="G22" s="3"/>
      <c r="H22" s="43"/>
      <c r="I22" s="43"/>
      <c r="J22" s="3"/>
      <c r="K22" s="3"/>
      <c r="L22" s="3"/>
      <c r="M22" s="3"/>
      <c r="N22" s="3"/>
      <c r="O22" s="3"/>
      <c r="P22" s="3"/>
      <c r="Q22" s="3"/>
    </row>
    <row r="23" spans="2:17" s="2" customFormat="1" ht="21.95" customHeight="1">
      <c r="B23" s="9" t="s">
        <v>114</v>
      </c>
      <c r="C23" s="10"/>
      <c r="D23" s="3"/>
      <c r="E23" s="3"/>
      <c r="F23" s="3"/>
      <c r="G23" s="3"/>
      <c r="H23" s="102" t="s">
        <v>318</v>
      </c>
      <c r="I23" s="102"/>
      <c r="J23" s="3"/>
      <c r="K23" s="3"/>
      <c r="L23" s="3"/>
      <c r="M23" s="3"/>
      <c r="N23" s="3"/>
      <c r="O23" s="3"/>
      <c r="P23" s="3"/>
      <c r="Q23" s="3"/>
    </row>
    <row r="24" spans="2:17" s="2" customFormat="1" ht="21.95" customHeight="1">
      <c r="B24" s="14" t="s">
        <v>92</v>
      </c>
      <c r="C24" s="15"/>
      <c r="D24" s="3"/>
      <c r="E24" s="3"/>
      <c r="F24" s="3"/>
      <c r="G24" s="3"/>
      <c r="H24" s="103" t="s">
        <v>319</v>
      </c>
      <c r="I24" s="103"/>
      <c r="J24" s="3"/>
      <c r="K24" s="3"/>
      <c r="L24" s="3"/>
      <c r="M24" s="3"/>
      <c r="N24" s="3"/>
      <c r="O24" s="3"/>
      <c r="P24" s="3"/>
      <c r="Q24" s="3"/>
    </row>
    <row r="25" spans="2:17" s="2" customFormat="1" ht="21.95" customHeight="1">
      <c r="B25" s="46" t="s">
        <v>115</v>
      </c>
      <c r="C25" s="47"/>
      <c r="D25" s="3"/>
      <c r="E25" s="43"/>
      <c r="F25" s="3"/>
      <c r="G25" s="3"/>
      <c r="H25" s="103" t="s">
        <v>320</v>
      </c>
      <c r="I25" s="103"/>
      <c r="J25" s="3"/>
      <c r="K25" s="3"/>
      <c r="L25" s="3"/>
      <c r="M25" s="3"/>
      <c r="N25" s="3"/>
      <c r="O25" s="3"/>
      <c r="P25" s="3"/>
      <c r="Q25" s="3"/>
    </row>
    <row r="26" spans="2:17" s="2" customFormat="1" ht="21.95" customHeight="1">
      <c r="B26" s="9" t="s">
        <v>116</v>
      </c>
      <c r="C26" s="48" t="e">
        <f>B32*C24</f>
        <v>#NUM!</v>
      </c>
      <c r="D26" s="3"/>
      <c r="E26" s="3"/>
      <c r="F26" s="3"/>
      <c r="G26" s="3"/>
      <c r="H26" s="103" t="s">
        <v>321</v>
      </c>
      <c r="I26" s="103"/>
      <c r="J26" s="3"/>
      <c r="K26" s="3"/>
      <c r="L26" s="3"/>
      <c r="M26" s="3"/>
      <c r="N26" s="3"/>
      <c r="O26" s="3"/>
      <c r="P26" s="3"/>
      <c r="Q26" s="3"/>
    </row>
    <row r="27" spans="2:17" s="2" customFormat="1" ht="21.95" customHeight="1">
      <c r="B27" s="14" t="s">
        <v>117</v>
      </c>
      <c r="C27" s="37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3"/>
      <c r="E27" s="3"/>
      <c r="F27" s="3"/>
      <c r="G27" s="3"/>
      <c r="H27" s="103" t="s">
        <v>322</v>
      </c>
      <c r="I27" s="103"/>
      <c r="J27" s="3"/>
      <c r="K27" s="3"/>
      <c r="L27" s="3"/>
      <c r="M27" s="3"/>
      <c r="N27" s="3"/>
      <c r="O27" s="3"/>
      <c r="P27" s="3"/>
      <c r="Q27" s="3"/>
    </row>
    <row r="28" spans="2:17" s="2" customFormat="1" ht="20.25" customHeight="1">
      <c r="B28" s="17" t="s">
        <v>118</v>
      </c>
      <c r="C28" s="38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2:17">
      <c r="B30" s="1" t="e">
        <f>LOG(C25/I17,10)</f>
        <v>#NUM!</v>
      </c>
    </row>
    <row r="31" spans="2:17">
      <c r="B31" s="1" t="e">
        <f>C23+50*B30</f>
        <v>#NUM!</v>
      </c>
    </row>
    <row r="32" spans="2:17">
      <c r="B32" s="1" t="e">
        <f>I17*10^((B31-I18)/50)</f>
        <v>#NUM!</v>
      </c>
    </row>
  </sheetData>
  <mergeCells count="14">
    <mergeCell ref="H23:I23"/>
    <mergeCell ref="H24:I24"/>
    <mergeCell ref="H25:I25"/>
    <mergeCell ref="H26:I26"/>
    <mergeCell ref="H27:I27"/>
    <mergeCell ref="B22:C22"/>
    <mergeCell ref="H5:I5"/>
    <mergeCell ref="K5:L5"/>
    <mergeCell ref="O7:P7"/>
    <mergeCell ref="N5:Q5"/>
    <mergeCell ref="B5:C5"/>
    <mergeCell ref="Q6:Q9"/>
    <mergeCell ref="O6:P6"/>
    <mergeCell ref="E5:F5"/>
  </mergeCells>
  <phoneticPr fontId="1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Q32"/>
  <sheetViews>
    <sheetView workbookViewId="0">
      <selection activeCell="K24" sqref="K24"/>
    </sheetView>
  </sheetViews>
  <sheetFormatPr defaultRowHeight="16.5"/>
  <cols>
    <col min="2" max="2" width="30" style="2" customWidth="1"/>
    <col min="3" max="3" width="12" style="2" customWidth="1"/>
    <col min="4" max="4" width="6.625" style="2" customWidth="1"/>
    <col min="5" max="5" width="30" style="2" customWidth="1"/>
    <col min="6" max="6" width="12" customWidth="1"/>
    <col min="8" max="8" width="28" style="2" customWidth="1"/>
    <col min="9" max="9" width="15" style="2" customWidth="1"/>
    <col min="11" max="11" width="15" style="2" customWidth="1"/>
    <col min="12" max="12" width="14" customWidth="1"/>
    <col min="14" max="14" width="40" style="2" customWidth="1"/>
    <col min="15" max="15" width="14" style="2" customWidth="1"/>
    <col min="16" max="16" width="22" style="2" customWidth="1"/>
    <col min="17" max="17" width="40" style="2" customWidth="1"/>
  </cols>
  <sheetData>
    <row r="1" spans="2:17" s="2" customFormat="1" ht="17.2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s="2" customFormat="1" ht="17.25" customHeight="1">
      <c r="B2" s="6" t="s">
        <v>119</v>
      </c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s="2" customFormat="1" ht="17.25" customHeight="1">
      <c r="B3" s="6" t="s">
        <v>120</v>
      </c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s="2" customFormat="1" ht="17.2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s="2" customFormat="1" ht="27.95" customHeight="1">
      <c r="B5" s="91" t="s">
        <v>121</v>
      </c>
      <c r="C5" s="92"/>
      <c r="D5" s="3"/>
      <c r="E5" s="91" t="s">
        <v>122</v>
      </c>
      <c r="F5" s="92"/>
      <c r="G5" s="3"/>
      <c r="H5" s="93" t="s">
        <v>323</v>
      </c>
      <c r="I5" s="94"/>
      <c r="J5" s="3"/>
      <c r="K5" s="91" t="s">
        <v>123</v>
      </c>
      <c r="L5" s="92"/>
      <c r="M5" s="3"/>
      <c r="N5" s="93" t="s">
        <v>124</v>
      </c>
      <c r="O5" s="97"/>
      <c r="P5" s="97"/>
      <c r="Q5" s="94"/>
    </row>
    <row r="6" spans="2:17" s="2" customFormat="1" ht="19.5" customHeight="1">
      <c r="B6" s="9" t="s">
        <v>125</v>
      </c>
      <c r="C6" s="10"/>
      <c r="D6" s="3"/>
      <c r="E6" s="9" t="s">
        <v>125</v>
      </c>
      <c r="F6" s="11"/>
      <c r="G6" s="3"/>
      <c r="H6" s="9" t="s">
        <v>126</v>
      </c>
      <c r="I6" s="10"/>
      <c r="J6" s="3"/>
      <c r="K6" s="12" t="s">
        <v>127</v>
      </c>
      <c r="L6" s="13" t="s">
        <v>128</v>
      </c>
      <c r="M6" s="3"/>
      <c r="N6" s="9" t="s">
        <v>125</v>
      </c>
      <c r="O6" s="100"/>
      <c r="P6" s="101"/>
      <c r="Q6" s="98"/>
    </row>
    <row r="7" spans="2:17" s="2" customFormat="1" ht="20.25" customHeight="1">
      <c r="B7" s="14" t="s">
        <v>129</v>
      </c>
      <c r="C7" s="15"/>
      <c r="D7" s="3"/>
      <c r="E7" s="14" t="s">
        <v>130</v>
      </c>
      <c r="F7" s="16"/>
      <c r="G7" s="3"/>
      <c r="H7" s="17" t="s">
        <v>131</v>
      </c>
      <c r="I7" s="18"/>
      <c r="J7" s="3"/>
      <c r="K7" s="19" t="s">
        <v>13</v>
      </c>
      <c r="L7" s="20" t="s">
        <v>14</v>
      </c>
      <c r="M7" s="3"/>
      <c r="N7" s="14" t="s">
        <v>129</v>
      </c>
      <c r="O7" s="95"/>
      <c r="P7" s="96"/>
      <c r="Q7" s="99"/>
    </row>
    <row r="8" spans="2:17" s="2" customFormat="1" ht="20.25" customHeight="1">
      <c r="B8" s="17" t="s">
        <v>132</v>
      </c>
      <c r="C8" s="18"/>
      <c r="D8" s="3"/>
      <c r="E8" s="17" t="s">
        <v>133</v>
      </c>
      <c r="F8" s="21"/>
      <c r="G8" s="3"/>
      <c r="H8" s="22" t="s">
        <v>17</v>
      </c>
      <c r="I8" s="23" t="e">
        <f>I17*10^((I21-I18)/50)</f>
        <v>#NUM!</v>
      </c>
      <c r="J8" s="3"/>
      <c r="K8" s="19" t="s">
        <v>18</v>
      </c>
      <c r="L8" s="20" t="s">
        <v>14</v>
      </c>
      <c r="M8" s="3"/>
      <c r="N8" s="14" t="s">
        <v>134</v>
      </c>
      <c r="O8" s="24" t="s">
        <v>20</v>
      </c>
      <c r="P8" s="15" t="str">
        <f>INDEX(L7:L20, MATCH(O8, K7:K20, 0), 1)</f>
        <v>16:10</v>
      </c>
      <c r="Q8" s="99"/>
    </row>
    <row r="9" spans="2:17" s="2" customFormat="1" ht="20.25" customHeight="1">
      <c r="B9" s="9" t="s">
        <v>135</v>
      </c>
      <c r="C9" s="25">
        <f>C8-C6</f>
        <v>0</v>
      </c>
      <c r="D9" s="3"/>
      <c r="E9" s="26" t="s">
        <v>136</v>
      </c>
      <c r="F9" s="27" t="e">
        <f>LOG(F7/F8,10)</f>
        <v>#DIV/0!</v>
      </c>
      <c r="G9" s="3"/>
      <c r="H9" s="3"/>
      <c r="I9" s="3"/>
      <c r="J9" s="3"/>
      <c r="K9" s="19" t="s">
        <v>23</v>
      </c>
      <c r="L9" s="20" t="s">
        <v>14</v>
      </c>
      <c r="M9" s="3"/>
      <c r="N9" s="17" t="s">
        <v>137</v>
      </c>
      <c r="O9" s="28" t="s">
        <v>25</v>
      </c>
      <c r="P9" s="18" t="str">
        <f>INDEX(L7:L20, MATCH(O9, K7:K20, 0), 1)</f>
        <v>16:9</v>
      </c>
      <c r="Q9" s="99"/>
    </row>
    <row r="10" spans="2:17" s="2" customFormat="1" ht="24" customHeight="1">
      <c r="B10" s="17" t="s">
        <v>138</v>
      </c>
      <c r="C10" s="29">
        <f>10^(C9/50)</f>
        <v>1</v>
      </c>
      <c r="D10" s="3"/>
      <c r="E10" s="22" t="s">
        <v>132</v>
      </c>
      <c r="F10" s="23" t="e">
        <f>F6+50*F9</f>
        <v>#DIV/0!</v>
      </c>
      <c r="G10" s="3"/>
      <c r="H10" s="3"/>
      <c r="I10" s="3"/>
      <c r="J10" s="3"/>
      <c r="K10" s="19" t="s">
        <v>25</v>
      </c>
      <c r="L10" s="20" t="s">
        <v>14</v>
      </c>
      <c r="M10" s="3"/>
      <c r="N10" s="9" t="s">
        <v>139</v>
      </c>
      <c r="O10" s="30" t="s">
        <v>140</v>
      </c>
      <c r="P10" s="31" t="s">
        <v>141</v>
      </c>
      <c r="Q10" s="13" t="s">
        <v>142</v>
      </c>
    </row>
    <row r="11" spans="2:17" s="2" customFormat="1" ht="24" customHeight="1">
      <c r="B11" s="32" t="s">
        <v>143</v>
      </c>
      <c r="C11" s="33">
        <f>C7*1/C10</f>
        <v>0</v>
      </c>
      <c r="D11" s="3"/>
      <c r="E11" s="3"/>
      <c r="F11" s="3"/>
      <c r="G11" s="3"/>
      <c r="H11" s="3"/>
      <c r="I11" s="3"/>
      <c r="J11" s="3"/>
      <c r="K11" s="19" t="s">
        <v>31</v>
      </c>
      <c r="L11" s="20" t="s">
        <v>32</v>
      </c>
      <c r="M11" s="3"/>
      <c r="N11" s="14" t="s">
        <v>144</v>
      </c>
      <c r="O11" s="34">
        <f>O6</f>
        <v>0</v>
      </c>
      <c r="P11" s="35">
        <f>O7*1.11</f>
        <v>0</v>
      </c>
      <c r="Q11" s="36" t="s">
        <v>145</v>
      </c>
    </row>
    <row r="12" spans="2:17" s="2" customFormat="1" ht="24" customHeight="1">
      <c r="B12" s="14" t="s">
        <v>146</v>
      </c>
      <c r="C12" s="37">
        <f>ROUND(C11,2)</f>
        <v>0</v>
      </c>
      <c r="D12" s="3"/>
      <c r="E12" s="3"/>
      <c r="F12" s="3"/>
      <c r="G12" s="3"/>
      <c r="H12" s="3"/>
      <c r="I12" s="3"/>
      <c r="J12" s="3"/>
      <c r="K12" s="19" t="s">
        <v>36</v>
      </c>
      <c r="L12" s="20" t="s">
        <v>14</v>
      </c>
      <c r="M12" s="3"/>
      <c r="N12" s="14" t="s">
        <v>147</v>
      </c>
      <c r="O12" s="34">
        <f>O6</f>
        <v>0</v>
      </c>
      <c r="P12" s="35">
        <f>O7/1.11</f>
        <v>0</v>
      </c>
      <c r="Q12" s="36" t="s">
        <v>148</v>
      </c>
    </row>
    <row r="13" spans="2:17" s="2" customFormat="1" ht="24" customHeight="1">
      <c r="B13" s="17" t="s">
        <v>149</v>
      </c>
      <c r="C13" s="38">
        <f>ROUNDDOWN(C11,2)</f>
        <v>0</v>
      </c>
      <c r="D13" s="3"/>
      <c r="E13" s="3"/>
      <c r="F13" s="3"/>
      <c r="G13" s="3"/>
      <c r="H13" s="3"/>
      <c r="I13" s="3"/>
      <c r="J13" s="3"/>
      <c r="K13" s="19" t="s">
        <v>40</v>
      </c>
      <c r="L13" s="20" t="s">
        <v>32</v>
      </c>
      <c r="M13" s="3"/>
      <c r="N13" s="14" t="s">
        <v>150</v>
      </c>
      <c r="O13" s="34">
        <f>O6</f>
        <v>0</v>
      </c>
      <c r="P13" s="35">
        <f>O7*0.85</f>
        <v>0</v>
      </c>
      <c r="Q13" s="36" t="s">
        <v>151</v>
      </c>
    </row>
    <row r="14" spans="2:17" s="2" customFormat="1" ht="24" customHeight="1">
      <c r="B14" s="3"/>
      <c r="C14" s="3"/>
      <c r="D14" s="3"/>
      <c r="E14" s="3"/>
      <c r="F14" s="3"/>
      <c r="G14" s="3"/>
      <c r="H14" s="3"/>
      <c r="I14" s="3"/>
      <c r="J14" s="3"/>
      <c r="K14" s="19" t="s">
        <v>43</v>
      </c>
      <c r="L14" s="20" t="s">
        <v>14</v>
      </c>
      <c r="M14" s="3"/>
      <c r="N14" s="39" t="s">
        <v>152</v>
      </c>
      <c r="O14" s="34">
        <f>O6</f>
        <v>0</v>
      </c>
      <c r="P14" s="35">
        <f>O7/0.85</f>
        <v>0</v>
      </c>
      <c r="Q14" s="36" t="s">
        <v>153</v>
      </c>
    </row>
    <row r="15" spans="2:17" s="2" customFormat="1" ht="24" customHeight="1">
      <c r="B15" s="3"/>
      <c r="C15" s="3"/>
      <c r="D15" s="3"/>
      <c r="E15" s="3"/>
      <c r="F15" s="3"/>
      <c r="G15" s="3"/>
      <c r="H15" s="3"/>
      <c r="I15" s="3"/>
      <c r="J15" s="3"/>
      <c r="K15" s="19" t="s">
        <v>20</v>
      </c>
      <c r="L15" s="20" t="s">
        <v>46</v>
      </c>
      <c r="M15" s="3"/>
      <c r="N15" s="14" t="s">
        <v>154</v>
      </c>
      <c r="O15" s="34">
        <f>O6</f>
        <v>0</v>
      </c>
      <c r="P15" s="35">
        <f>O7*1.33</f>
        <v>0</v>
      </c>
      <c r="Q15" s="36" t="s">
        <v>155</v>
      </c>
    </row>
    <row r="16" spans="2:17" s="2" customFormat="1" ht="24" customHeight="1">
      <c r="B16" s="3"/>
      <c r="C16" s="3"/>
      <c r="D16" s="3"/>
      <c r="E16" s="3"/>
      <c r="F16" s="3"/>
      <c r="G16" s="3"/>
      <c r="H16" s="3"/>
      <c r="I16" s="3"/>
      <c r="J16" s="3"/>
      <c r="K16" s="19" t="s">
        <v>49</v>
      </c>
      <c r="L16" s="20" t="s">
        <v>46</v>
      </c>
      <c r="M16" s="3"/>
      <c r="N16" s="17" t="s">
        <v>156</v>
      </c>
      <c r="O16" s="40">
        <f>O6</f>
        <v>0</v>
      </c>
      <c r="P16" s="41">
        <f>O7/1.33</f>
        <v>0</v>
      </c>
      <c r="Q16" s="42" t="s">
        <v>157</v>
      </c>
    </row>
    <row r="17" spans="2:17">
      <c r="B17" s="3"/>
      <c r="C17" s="3"/>
      <c r="D17" s="3"/>
      <c r="E17" s="3"/>
      <c r="F17" s="3"/>
      <c r="G17" s="3"/>
      <c r="H17" s="43" t="s">
        <v>158</v>
      </c>
      <c r="I17" s="43">
        <v>800</v>
      </c>
      <c r="J17" s="3"/>
      <c r="K17" s="19" t="s">
        <v>53</v>
      </c>
      <c r="L17" s="20" t="s">
        <v>46</v>
      </c>
      <c r="M17" s="3"/>
      <c r="N17" s="3"/>
      <c r="O17" s="3"/>
      <c r="P17" s="3"/>
      <c r="Q17" s="3"/>
    </row>
    <row r="18" spans="2:17" s="2" customFormat="1" ht="18.75" customHeight="1">
      <c r="B18" s="3"/>
      <c r="C18" s="3"/>
      <c r="D18" s="3"/>
      <c r="E18" s="3"/>
      <c r="F18" s="3"/>
      <c r="G18" s="3"/>
      <c r="H18" s="43" t="s">
        <v>159</v>
      </c>
      <c r="I18" s="43">
        <v>11</v>
      </c>
      <c r="J18" s="3"/>
      <c r="K18" s="19" t="s">
        <v>55</v>
      </c>
      <c r="L18" s="20" t="s">
        <v>46</v>
      </c>
      <c r="M18" s="3"/>
      <c r="N18" s="5" t="s">
        <v>160</v>
      </c>
      <c r="O18" s="5"/>
      <c r="P18" s="5"/>
      <c r="Q18" s="5"/>
    </row>
    <row r="19" spans="2:17" s="2" customFormat="1" ht="18.75" customHeight="1">
      <c r="B19" s="3"/>
      <c r="C19" s="3"/>
      <c r="D19" s="3"/>
      <c r="E19" s="3"/>
      <c r="F19" s="3"/>
      <c r="G19" s="3"/>
      <c r="H19" s="43" t="s">
        <v>324</v>
      </c>
      <c r="I19" s="43">
        <f>(I17*I18)/11</f>
        <v>800</v>
      </c>
      <c r="J19" s="3"/>
      <c r="K19" s="19" t="s">
        <v>57</v>
      </c>
      <c r="L19" s="20" t="s">
        <v>58</v>
      </c>
      <c r="M19" s="3"/>
      <c r="N19" s="5" t="s">
        <v>161</v>
      </c>
      <c r="O19" s="5"/>
      <c r="P19" s="5"/>
      <c r="Q19" s="5"/>
    </row>
    <row r="20" spans="2:17" s="2" customFormat="1" ht="18.75" customHeight="1">
      <c r="B20" s="3"/>
      <c r="C20" s="3"/>
      <c r="D20" s="3"/>
      <c r="E20" s="3"/>
      <c r="F20" s="3"/>
      <c r="G20" s="3"/>
      <c r="H20" s="43" t="s">
        <v>136</v>
      </c>
      <c r="I20" s="43" t="e">
        <f>LOG(I6/I17,10)</f>
        <v>#NUM!</v>
      </c>
      <c r="J20" s="3"/>
      <c r="K20" s="44" t="s">
        <v>60</v>
      </c>
      <c r="L20" s="45" t="s">
        <v>58</v>
      </c>
      <c r="M20" s="3"/>
      <c r="N20" s="5" t="s">
        <v>162</v>
      </c>
      <c r="O20" s="5"/>
      <c r="P20" s="5"/>
      <c r="Q20" s="5"/>
    </row>
    <row r="21" spans="2:17" s="2" customFormat="1" ht="17.25" customHeight="1">
      <c r="B21" s="3"/>
      <c r="C21" s="3"/>
      <c r="D21" s="3"/>
      <c r="E21" s="3"/>
      <c r="F21" s="3"/>
      <c r="G21" s="3"/>
      <c r="H21" s="43" t="s">
        <v>163</v>
      </c>
      <c r="I21" s="43" t="e">
        <f>I7+50*I20</f>
        <v>#NUM!</v>
      </c>
      <c r="J21" s="3"/>
      <c r="K21" s="3"/>
      <c r="L21" s="3"/>
      <c r="M21" s="3"/>
      <c r="N21" s="3"/>
      <c r="O21" s="3"/>
      <c r="P21" s="3"/>
      <c r="Q21" s="3"/>
    </row>
    <row r="22" spans="2:17" s="2" customFormat="1" ht="27.95" customHeight="1">
      <c r="B22" s="91" t="s">
        <v>164</v>
      </c>
      <c r="C22" s="92"/>
      <c r="D22" s="3"/>
      <c r="E22" s="3"/>
      <c r="F22" s="3"/>
      <c r="G22" s="3"/>
      <c r="H22" s="43"/>
      <c r="I22" s="43"/>
      <c r="J22" s="3"/>
      <c r="K22" s="3"/>
      <c r="L22" s="3"/>
      <c r="M22" s="3"/>
      <c r="N22" s="3"/>
      <c r="O22" s="3"/>
      <c r="P22" s="3"/>
      <c r="Q22" s="3"/>
    </row>
    <row r="23" spans="2:17" s="2" customFormat="1" ht="21.95" customHeight="1">
      <c r="B23" s="9" t="s">
        <v>165</v>
      </c>
      <c r="C23" s="10"/>
      <c r="D23" s="3"/>
      <c r="E23" s="3"/>
      <c r="F23" s="3"/>
      <c r="G23" s="3"/>
      <c r="H23" s="102" t="s">
        <v>325</v>
      </c>
      <c r="I23" s="102"/>
      <c r="J23" s="3"/>
      <c r="K23" s="3"/>
      <c r="L23" s="3"/>
      <c r="M23" s="3"/>
      <c r="N23" s="3"/>
      <c r="O23" s="3"/>
      <c r="P23" s="3"/>
      <c r="Q23" s="3"/>
    </row>
    <row r="24" spans="2:17" s="2" customFormat="1" ht="21.95" customHeight="1">
      <c r="B24" s="14" t="s">
        <v>141</v>
      </c>
      <c r="C24" s="15"/>
      <c r="D24" s="3"/>
      <c r="E24" s="3"/>
      <c r="F24" s="3"/>
      <c r="G24" s="3"/>
      <c r="H24" s="103" t="s">
        <v>326</v>
      </c>
      <c r="I24" s="103"/>
      <c r="J24" s="3"/>
      <c r="K24" s="3"/>
      <c r="L24" s="3"/>
      <c r="M24" s="3"/>
      <c r="N24" s="3"/>
      <c r="O24" s="3"/>
      <c r="P24" s="3"/>
      <c r="Q24" s="3"/>
    </row>
    <row r="25" spans="2:17" s="2" customFormat="1" ht="21.95" customHeight="1">
      <c r="B25" s="46" t="s">
        <v>115</v>
      </c>
      <c r="C25" s="47"/>
      <c r="D25" s="3"/>
      <c r="E25" s="43"/>
      <c r="F25" s="3"/>
      <c r="G25" s="3"/>
      <c r="H25" s="103" t="s">
        <v>327</v>
      </c>
      <c r="I25" s="103"/>
      <c r="J25" s="3"/>
      <c r="K25" s="3"/>
      <c r="L25" s="3"/>
      <c r="M25" s="3"/>
      <c r="N25" s="3"/>
      <c r="O25" s="3"/>
      <c r="P25" s="3"/>
      <c r="Q25" s="3"/>
    </row>
    <row r="26" spans="2:17" s="2" customFormat="1" ht="21.95" customHeight="1">
      <c r="B26" s="9" t="s">
        <v>166</v>
      </c>
      <c r="C26" s="48" t="e">
        <f>B32*C24</f>
        <v>#NUM!</v>
      </c>
      <c r="D26" s="3"/>
      <c r="E26" s="3"/>
      <c r="F26" s="3"/>
      <c r="G26" s="3"/>
      <c r="H26" s="103" t="s">
        <v>328</v>
      </c>
      <c r="I26" s="103"/>
      <c r="J26" s="3"/>
      <c r="K26" s="3"/>
      <c r="L26" s="3"/>
      <c r="M26" s="3"/>
      <c r="N26" s="3"/>
      <c r="O26" s="3"/>
      <c r="P26" s="3"/>
      <c r="Q26" s="3"/>
    </row>
    <row r="27" spans="2:17" s="2" customFormat="1" ht="21.95" customHeight="1">
      <c r="B27" s="14" t="s">
        <v>167</v>
      </c>
      <c r="C27" s="37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3"/>
      <c r="E27" s="3"/>
      <c r="F27" s="3"/>
      <c r="G27" s="3"/>
      <c r="H27" s="103" t="s">
        <v>329</v>
      </c>
      <c r="I27" s="103"/>
      <c r="J27" s="3"/>
      <c r="K27" s="3"/>
      <c r="L27" s="3"/>
      <c r="M27" s="3"/>
      <c r="N27" s="3"/>
      <c r="O27" s="3"/>
      <c r="P27" s="3"/>
      <c r="Q27" s="3"/>
    </row>
    <row r="28" spans="2:17" s="2" customFormat="1" ht="20.25" customHeight="1">
      <c r="B28" s="17" t="s">
        <v>168</v>
      </c>
      <c r="C28" s="38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2:17">
      <c r="B30" s="1" t="e">
        <f>LOG(C25/I17,10)</f>
        <v>#NUM!</v>
      </c>
    </row>
    <row r="31" spans="2:17">
      <c r="B31" s="1" t="e">
        <f>C23+50*B30</f>
        <v>#NUM!</v>
      </c>
    </row>
    <row r="32" spans="2:17">
      <c r="B32" s="1" t="e">
        <f>I17*10^((B31-I18)/50)</f>
        <v>#NUM!</v>
      </c>
    </row>
  </sheetData>
  <mergeCells count="14">
    <mergeCell ref="H23:I23"/>
    <mergeCell ref="H24:I24"/>
    <mergeCell ref="H25:I25"/>
    <mergeCell ref="H26:I26"/>
    <mergeCell ref="H27:I27"/>
    <mergeCell ref="B22:C22"/>
    <mergeCell ref="H5:I5"/>
    <mergeCell ref="K5:L5"/>
    <mergeCell ref="O7:P7"/>
    <mergeCell ref="N5:Q5"/>
    <mergeCell ref="B5:C5"/>
    <mergeCell ref="Q6:Q9"/>
    <mergeCell ref="O6:P6"/>
    <mergeCell ref="E5:F5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Q32"/>
  <sheetViews>
    <sheetView workbookViewId="0">
      <selection activeCell="D40" sqref="D40"/>
    </sheetView>
  </sheetViews>
  <sheetFormatPr defaultRowHeight="16.5"/>
  <cols>
    <col min="2" max="2" width="30" style="2" customWidth="1"/>
    <col min="3" max="3" width="12" style="2" customWidth="1"/>
    <col min="4" max="4" width="6.625" style="2" customWidth="1"/>
    <col min="5" max="5" width="30" style="2" customWidth="1"/>
    <col min="6" max="6" width="12" customWidth="1"/>
    <col min="8" max="8" width="28" style="2" customWidth="1"/>
    <col min="9" max="9" width="15" style="2" customWidth="1"/>
    <col min="11" max="11" width="15" style="2" customWidth="1"/>
    <col min="12" max="12" width="14" customWidth="1"/>
    <col min="14" max="14" width="40" style="2" customWidth="1"/>
    <col min="15" max="15" width="14" style="2" customWidth="1"/>
    <col min="16" max="16" width="22" style="2" customWidth="1"/>
    <col min="17" max="17" width="40" style="2" customWidth="1"/>
  </cols>
  <sheetData>
    <row r="1" spans="2:17" s="2" customFormat="1" ht="17.2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s="2" customFormat="1" ht="17.25" customHeight="1">
      <c r="B2" s="6" t="s">
        <v>169</v>
      </c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s="2" customFormat="1" ht="17.25" customHeight="1">
      <c r="B3" s="6" t="s">
        <v>170</v>
      </c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s="2" customFormat="1" ht="17.2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s="2" customFormat="1" ht="27.95" customHeight="1">
      <c r="B5" s="91" t="s">
        <v>171</v>
      </c>
      <c r="C5" s="92"/>
      <c r="D5" s="3"/>
      <c r="E5" s="91" t="s">
        <v>172</v>
      </c>
      <c r="F5" s="92"/>
      <c r="G5" s="3"/>
      <c r="H5" s="93" t="s">
        <v>330</v>
      </c>
      <c r="I5" s="94"/>
      <c r="J5" s="3"/>
      <c r="K5" s="91" t="s">
        <v>173</v>
      </c>
      <c r="L5" s="92"/>
      <c r="M5" s="3"/>
      <c r="N5" s="93" t="s">
        <v>174</v>
      </c>
      <c r="O5" s="97"/>
      <c r="P5" s="97"/>
      <c r="Q5" s="94"/>
    </row>
    <row r="6" spans="2:17" s="2" customFormat="1" ht="19.5" customHeight="1">
      <c r="B6" s="9" t="s">
        <v>175</v>
      </c>
      <c r="C6" s="10">
        <v>35</v>
      </c>
      <c r="D6" s="3"/>
      <c r="E6" s="9" t="s">
        <v>175</v>
      </c>
      <c r="F6" s="11"/>
      <c r="G6" s="3"/>
      <c r="H6" s="9" t="s">
        <v>176</v>
      </c>
      <c r="I6" s="10"/>
      <c r="J6" s="3"/>
      <c r="K6" s="12" t="s">
        <v>177</v>
      </c>
      <c r="L6" s="13" t="s">
        <v>178</v>
      </c>
      <c r="M6" s="3"/>
      <c r="N6" s="9" t="s">
        <v>175</v>
      </c>
      <c r="O6" s="100"/>
      <c r="P6" s="101"/>
      <c r="Q6" s="98"/>
    </row>
    <row r="7" spans="2:17" s="2" customFormat="1" ht="20.25" customHeight="1">
      <c r="B7" s="14" t="s">
        <v>179</v>
      </c>
      <c r="C7" s="15">
        <v>400</v>
      </c>
      <c r="D7" s="3"/>
      <c r="E7" s="14" t="s">
        <v>180</v>
      </c>
      <c r="F7" s="16"/>
      <c r="G7" s="3"/>
      <c r="H7" s="17" t="s">
        <v>181</v>
      </c>
      <c r="I7" s="18"/>
      <c r="J7" s="3"/>
      <c r="K7" s="19" t="s">
        <v>13</v>
      </c>
      <c r="L7" s="20" t="s">
        <v>14</v>
      </c>
      <c r="M7" s="3"/>
      <c r="N7" s="14" t="s">
        <v>179</v>
      </c>
      <c r="O7" s="95"/>
      <c r="P7" s="96"/>
      <c r="Q7" s="99"/>
    </row>
    <row r="8" spans="2:17" s="2" customFormat="1" ht="20.25" customHeight="1">
      <c r="B8" s="17" t="s">
        <v>182</v>
      </c>
      <c r="C8" s="18"/>
      <c r="D8" s="3"/>
      <c r="E8" s="17" t="s">
        <v>183</v>
      </c>
      <c r="F8" s="21"/>
      <c r="G8" s="3"/>
      <c r="H8" s="22" t="s">
        <v>17</v>
      </c>
      <c r="I8" s="23" t="e">
        <f>I17*10^((I21-I18)/50)</f>
        <v>#NUM!</v>
      </c>
      <c r="J8" s="3"/>
      <c r="K8" s="19" t="s">
        <v>18</v>
      </c>
      <c r="L8" s="20" t="s">
        <v>14</v>
      </c>
      <c r="M8" s="3"/>
      <c r="N8" s="14" t="s">
        <v>184</v>
      </c>
      <c r="O8" s="24" t="s">
        <v>20</v>
      </c>
      <c r="P8" s="15" t="str">
        <f>INDEX(L7:L20, MATCH(O8, K7:K20, 0), 1)</f>
        <v>16:10</v>
      </c>
      <c r="Q8" s="99"/>
    </row>
    <row r="9" spans="2:17" s="2" customFormat="1" ht="20.25" customHeight="1">
      <c r="B9" s="9" t="s">
        <v>185</v>
      </c>
      <c r="C9" s="25">
        <f>C8-C6</f>
        <v>-35</v>
      </c>
      <c r="D9" s="3"/>
      <c r="E9" s="26" t="s">
        <v>186</v>
      </c>
      <c r="F9" s="27" t="e">
        <f>LOG(F7/F8,10)</f>
        <v>#DIV/0!</v>
      </c>
      <c r="G9" s="3"/>
      <c r="H9" s="3"/>
      <c r="I9" s="3"/>
      <c r="J9" s="3"/>
      <c r="K9" s="19" t="s">
        <v>23</v>
      </c>
      <c r="L9" s="20" t="s">
        <v>14</v>
      </c>
      <c r="M9" s="3"/>
      <c r="N9" s="17" t="s">
        <v>187</v>
      </c>
      <c r="O9" s="28" t="s">
        <v>25</v>
      </c>
      <c r="P9" s="18" t="str">
        <f>INDEX(L7:L20, MATCH(O9, K7:K20, 0), 1)</f>
        <v>16:9</v>
      </c>
      <c r="Q9" s="99"/>
    </row>
    <row r="10" spans="2:17" s="2" customFormat="1" ht="24" customHeight="1">
      <c r="B10" s="17" t="s">
        <v>188</v>
      </c>
      <c r="C10" s="29">
        <f>10^(C9/50)</f>
        <v>0.19952623149688795</v>
      </c>
      <c r="D10" s="3"/>
      <c r="E10" s="22" t="s">
        <v>182</v>
      </c>
      <c r="F10" s="23" t="e">
        <f>F6+50*F9</f>
        <v>#DIV/0!</v>
      </c>
      <c r="G10" s="3"/>
      <c r="H10" s="3"/>
      <c r="I10" s="3"/>
      <c r="J10" s="3"/>
      <c r="K10" s="19" t="s">
        <v>25</v>
      </c>
      <c r="L10" s="20" t="s">
        <v>14</v>
      </c>
      <c r="M10" s="3"/>
      <c r="N10" s="9" t="s">
        <v>189</v>
      </c>
      <c r="O10" s="30" t="s">
        <v>190</v>
      </c>
      <c r="P10" s="31" t="s">
        <v>141</v>
      </c>
      <c r="Q10" s="13" t="s">
        <v>191</v>
      </c>
    </row>
    <row r="11" spans="2:17" s="2" customFormat="1" ht="24" customHeight="1">
      <c r="B11" s="32" t="s">
        <v>192</v>
      </c>
      <c r="C11" s="33">
        <f>C7*1/C10</f>
        <v>2004.7489345090894</v>
      </c>
      <c r="D11" s="3"/>
      <c r="E11" s="3"/>
      <c r="F11" s="3"/>
      <c r="G11" s="3"/>
      <c r="H11" s="3"/>
      <c r="I11" s="3"/>
      <c r="J11" s="3"/>
      <c r="K11" s="19" t="s">
        <v>31</v>
      </c>
      <c r="L11" s="20" t="s">
        <v>32</v>
      </c>
      <c r="M11" s="3"/>
      <c r="N11" s="14" t="s">
        <v>193</v>
      </c>
      <c r="O11" s="34">
        <f>O6</f>
        <v>0</v>
      </c>
      <c r="P11" s="35">
        <f>O7*1.11</f>
        <v>0</v>
      </c>
      <c r="Q11" s="36" t="s">
        <v>194</v>
      </c>
    </row>
    <row r="12" spans="2:17" s="2" customFormat="1" ht="24" customHeight="1">
      <c r="B12" s="14" t="s">
        <v>195</v>
      </c>
      <c r="C12" s="37">
        <f>ROUND(C11,2)</f>
        <v>2004.75</v>
      </c>
      <c r="D12" s="3"/>
      <c r="E12" s="3"/>
      <c r="F12" s="3"/>
      <c r="G12" s="3"/>
      <c r="H12" s="3"/>
      <c r="I12" s="3"/>
      <c r="J12" s="3"/>
      <c r="K12" s="19" t="s">
        <v>36</v>
      </c>
      <c r="L12" s="20" t="s">
        <v>14</v>
      </c>
      <c r="M12" s="3"/>
      <c r="N12" s="14" t="s">
        <v>196</v>
      </c>
      <c r="O12" s="34">
        <f>O6</f>
        <v>0</v>
      </c>
      <c r="P12" s="35">
        <f>O7/1.11</f>
        <v>0</v>
      </c>
      <c r="Q12" s="36" t="s">
        <v>197</v>
      </c>
    </row>
    <row r="13" spans="2:17" s="2" customFormat="1" ht="24" customHeight="1">
      <c r="B13" s="17" t="s">
        <v>198</v>
      </c>
      <c r="C13" s="38">
        <f>ROUNDDOWN(C11,2)</f>
        <v>2004.74</v>
      </c>
      <c r="D13" s="3"/>
      <c r="E13" s="3"/>
      <c r="F13" s="3"/>
      <c r="G13" s="3"/>
      <c r="H13" s="3"/>
      <c r="I13" s="3"/>
      <c r="J13" s="3"/>
      <c r="K13" s="19" t="s">
        <v>40</v>
      </c>
      <c r="L13" s="20" t="s">
        <v>32</v>
      </c>
      <c r="M13" s="3"/>
      <c r="N13" s="14" t="s">
        <v>199</v>
      </c>
      <c r="O13" s="34">
        <f>O6</f>
        <v>0</v>
      </c>
      <c r="P13" s="35">
        <f>O7*0.85</f>
        <v>0</v>
      </c>
      <c r="Q13" s="36" t="s">
        <v>200</v>
      </c>
    </row>
    <row r="14" spans="2:17" s="2" customFormat="1" ht="24" customHeight="1">
      <c r="B14" s="3"/>
      <c r="C14" s="3"/>
      <c r="D14" s="3"/>
      <c r="E14" s="3"/>
      <c r="F14" s="3"/>
      <c r="G14" s="3"/>
      <c r="H14" s="3"/>
      <c r="I14" s="3"/>
      <c r="J14" s="3"/>
      <c r="K14" s="19" t="s">
        <v>43</v>
      </c>
      <c r="L14" s="20" t="s">
        <v>14</v>
      </c>
      <c r="M14" s="3"/>
      <c r="N14" s="39" t="s">
        <v>201</v>
      </c>
      <c r="O14" s="34">
        <f>O6</f>
        <v>0</v>
      </c>
      <c r="P14" s="35">
        <f>O7/0.85</f>
        <v>0</v>
      </c>
      <c r="Q14" s="36" t="s">
        <v>202</v>
      </c>
    </row>
    <row r="15" spans="2:17" s="2" customFormat="1" ht="24" customHeight="1">
      <c r="B15" s="3"/>
      <c r="C15" s="3"/>
      <c r="D15" s="3"/>
      <c r="E15" s="3"/>
      <c r="F15" s="3"/>
      <c r="G15" s="3"/>
      <c r="H15" s="3"/>
      <c r="I15" s="3"/>
      <c r="J15" s="3"/>
      <c r="K15" s="19" t="s">
        <v>20</v>
      </c>
      <c r="L15" s="20" t="s">
        <v>46</v>
      </c>
      <c r="M15" s="3"/>
      <c r="N15" s="14" t="s">
        <v>203</v>
      </c>
      <c r="O15" s="34">
        <f>O6</f>
        <v>0</v>
      </c>
      <c r="P15" s="35">
        <f>O7*1.33</f>
        <v>0</v>
      </c>
      <c r="Q15" s="36" t="s">
        <v>204</v>
      </c>
    </row>
    <row r="16" spans="2:17" s="2" customFormat="1" ht="24" customHeight="1">
      <c r="B16" s="3"/>
      <c r="C16" s="3"/>
      <c r="D16" s="3"/>
      <c r="E16" s="3"/>
      <c r="F16" s="3"/>
      <c r="G16" s="3"/>
      <c r="H16" s="3"/>
      <c r="I16" s="3"/>
      <c r="J16" s="3"/>
      <c r="K16" s="19" t="s">
        <v>49</v>
      </c>
      <c r="L16" s="20" t="s">
        <v>46</v>
      </c>
      <c r="M16" s="3"/>
      <c r="N16" s="17" t="s">
        <v>205</v>
      </c>
      <c r="O16" s="40">
        <f>O6</f>
        <v>0</v>
      </c>
      <c r="P16" s="41">
        <f>O7/1.33</f>
        <v>0</v>
      </c>
      <c r="Q16" s="42" t="s">
        <v>206</v>
      </c>
    </row>
    <row r="17" spans="2:17">
      <c r="B17" s="3"/>
      <c r="C17" s="3"/>
      <c r="D17" s="3"/>
      <c r="E17" s="3"/>
      <c r="F17" s="3"/>
      <c r="G17" s="3"/>
      <c r="H17" s="43" t="s">
        <v>207</v>
      </c>
      <c r="I17" s="43">
        <v>800</v>
      </c>
      <c r="J17" s="3"/>
      <c r="K17" s="19" t="s">
        <v>53</v>
      </c>
      <c r="L17" s="20" t="s">
        <v>46</v>
      </c>
      <c r="M17" s="3"/>
      <c r="N17" s="3"/>
      <c r="O17" s="3"/>
      <c r="P17" s="3"/>
      <c r="Q17" s="3"/>
    </row>
    <row r="18" spans="2:17" s="2" customFormat="1" ht="18.75" customHeight="1">
      <c r="B18" s="3"/>
      <c r="C18" s="3"/>
      <c r="D18" s="3"/>
      <c r="E18" s="3"/>
      <c r="F18" s="3"/>
      <c r="G18" s="3"/>
      <c r="H18" s="43" t="s">
        <v>208</v>
      </c>
      <c r="I18" s="43">
        <v>11</v>
      </c>
      <c r="J18" s="3"/>
      <c r="K18" s="19" t="s">
        <v>55</v>
      </c>
      <c r="L18" s="20" t="s">
        <v>46</v>
      </c>
      <c r="M18" s="3"/>
      <c r="N18" s="5" t="s">
        <v>209</v>
      </c>
      <c r="O18" s="5"/>
      <c r="P18" s="5"/>
      <c r="Q18" s="5"/>
    </row>
    <row r="19" spans="2:17" s="2" customFormat="1" ht="18.75" customHeight="1">
      <c r="B19" s="3"/>
      <c r="C19" s="3"/>
      <c r="D19" s="3"/>
      <c r="E19" s="3"/>
      <c r="F19" s="3"/>
      <c r="G19" s="3"/>
      <c r="H19" s="43" t="s">
        <v>331</v>
      </c>
      <c r="I19" s="43">
        <f>(I17*I18)/11</f>
        <v>800</v>
      </c>
      <c r="J19" s="3"/>
      <c r="K19" s="19" t="s">
        <v>57</v>
      </c>
      <c r="L19" s="20" t="s">
        <v>58</v>
      </c>
      <c r="M19" s="3"/>
      <c r="N19" s="5" t="s">
        <v>210</v>
      </c>
      <c r="O19" s="5"/>
      <c r="P19" s="5"/>
      <c r="Q19" s="5"/>
    </row>
    <row r="20" spans="2:17" s="2" customFormat="1" ht="18.75" customHeight="1">
      <c r="B20" s="3"/>
      <c r="C20" s="3"/>
      <c r="D20" s="3"/>
      <c r="E20" s="3"/>
      <c r="F20" s="3"/>
      <c r="G20" s="3"/>
      <c r="H20" s="43" t="s">
        <v>186</v>
      </c>
      <c r="I20" s="43" t="e">
        <f>LOG(I6/I17,10)</f>
        <v>#NUM!</v>
      </c>
      <c r="J20" s="3"/>
      <c r="K20" s="44" t="s">
        <v>60</v>
      </c>
      <c r="L20" s="45" t="s">
        <v>58</v>
      </c>
      <c r="M20" s="3"/>
      <c r="N20" s="5" t="s">
        <v>211</v>
      </c>
      <c r="O20" s="5"/>
      <c r="P20" s="5"/>
      <c r="Q20" s="5"/>
    </row>
    <row r="21" spans="2:17" s="2" customFormat="1" ht="17.25" customHeight="1">
      <c r="B21" s="3"/>
      <c r="C21" s="3"/>
      <c r="D21" s="3"/>
      <c r="E21" s="3"/>
      <c r="F21" s="3"/>
      <c r="G21" s="3"/>
      <c r="H21" s="43" t="s">
        <v>212</v>
      </c>
      <c r="I21" s="43" t="e">
        <f>I7+50*I20</f>
        <v>#NUM!</v>
      </c>
      <c r="J21" s="3"/>
      <c r="K21" s="3"/>
      <c r="L21" s="3"/>
      <c r="M21" s="3"/>
      <c r="N21" s="3"/>
      <c r="O21" s="3"/>
      <c r="P21" s="3"/>
      <c r="Q21" s="3"/>
    </row>
    <row r="22" spans="2:17" s="2" customFormat="1" ht="27.95" customHeight="1">
      <c r="B22" s="91" t="s">
        <v>213</v>
      </c>
      <c r="C22" s="92"/>
      <c r="D22" s="3"/>
      <c r="E22" s="3"/>
      <c r="F22" s="3"/>
      <c r="G22" s="3"/>
      <c r="H22" s="43"/>
      <c r="I22" s="43"/>
      <c r="J22" s="3"/>
      <c r="K22" s="3"/>
      <c r="L22" s="3"/>
      <c r="M22" s="3"/>
      <c r="N22" s="3"/>
      <c r="O22" s="3"/>
      <c r="P22" s="3"/>
      <c r="Q22" s="3"/>
    </row>
    <row r="23" spans="2:17" s="2" customFormat="1" ht="21.95" customHeight="1">
      <c r="B23" s="9" t="s">
        <v>214</v>
      </c>
      <c r="C23" s="10"/>
      <c r="D23" s="3"/>
      <c r="E23" s="3"/>
      <c r="F23" s="3"/>
      <c r="G23" s="3"/>
      <c r="H23" s="102" t="s">
        <v>332</v>
      </c>
      <c r="I23" s="102"/>
      <c r="J23" s="3"/>
      <c r="K23" s="3"/>
      <c r="L23" s="3"/>
      <c r="M23" s="3"/>
      <c r="N23" s="3"/>
      <c r="O23" s="3"/>
      <c r="P23" s="3"/>
      <c r="Q23" s="3"/>
    </row>
    <row r="24" spans="2:17" s="2" customFormat="1" ht="21.95" customHeight="1">
      <c r="B24" s="14" t="s">
        <v>141</v>
      </c>
      <c r="C24" s="15"/>
      <c r="D24" s="3"/>
      <c r="E24" s="3"/>
      <c r="F24" s="3"/>
      <c r="G24" s="3"/>
      <c r="H24" s="103" t="s">
        <v>333</v>
      </c>
      <c r="I24" s="103"/>
      <c r="J24" s="3"/>
      <c r="K24" s="3"/>
      <c r="L24" s="3"/>
      <c r="M24" s="3"/>
      <c r="N24" s="3"/>
      <c r="O24" s="3"/>
      <c r="P24" s="3"/>
      <c r="Q24" s="3"/>
    </row>
    <row r="25" spans="2:17" s="2" customFormat="1" ht="21.95" customHeight="1">
      <c r="B25" s="46" t="s">
        <v>115</v>
      </c>
      <c r="C25" s="47"/>
      <c r="D25" s="3"/>
      <c r="E25" s="43"/>
      <c r="F25" s="3"/>
      <c r="G25" s="3"/>
      <c r="H25" s="103" t="s">
        <v>334</v>
      </c>
      <c r="I25" s="103"/>
      <c r="J25" s="3"/>
      <c r="K25" s="3"/>
      <c r="L25" s="3"/>
      <c r="M25" s="3"/>
      <c r="N25" s="3"/>
      <c r="O25" s="3"/>
      <c r="P25" s="3"/>
      <c r="Q25" s="3"/>
    </row>
    <row r="26" spans="2:17" s="2" customFormat="1" ht="21.95" customHeight="1">
      <c r="B26" s="9" t="s">
        <v>215</v>
      </c>
      <c r="C26" s="48" t="e">
        <f>B32*C24</f>
        <v>#NUM!</v>
      </c>
      <c r="D26" s="3"/>
      <c r="E26" s="3"/>
      <c r="F26" s="3"/>
      <c r="G26" s="3"/>
      <c r="H26" s="103" t="s">
        <v>335</v>
      </c>
      <c r="I26" s="103"/>
      <c r="J26" s="3"/>
      <c r="K26" s="3"/>
      <c r="L26" s="3"/>
      <c r="M26" s="3"/>
      <c r="N26" s="3"/>
      <c r="O26" s="3"/>
      <c r="P26" s="3"/>
      <c r="Q26" s="3"/>
    </row>
    <row r="27" spans="2:17" s="2" customFormat="1" ht="21.95" customHeight="1">
      <c r="B27" s="14" t="s">
        <v>216</v>
      </c>
      <c r="C27" s="37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3"/>
      <c r="E27" s="3"/>
      <c r="F27" s="3"/>
      <c r="G27" s="3"/>
      <c r="H27" s="103" t="s">
        <v>336</v>
      </c>
      <c r="I27" s="103"/>
      <c r="J27" s="3"/>
      <c r="K27" s="3"/>
      <c r="L27" s="3"/>
      <c r="M27" s="3"/>
      <c r="N27" s="3"/>
      <c r="O27" s="3"/>
      <c r="P27" s="3"/>
      <c r="Q27" s="3"/>
    </row>
    <row r="28" spans="2:17" s="2" customFormat="1" ht="20.25" customHeight="1">
      <c r="B28" s="17" t="s">
        <v>217</v>
      </c>
      <c r="C28" s="38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2:17">
      <c r="B30" s="1" t="e">
        <f>LOG(C25/I17,10)</f>
        <v>#NUM!</v>
      </c>
    </row>
    <row r="31" spans="2:17">
      <c r="B31" s="1" t="e">
        <f>C23+50*B30</f>
        <v>#NUM!</v>
      </c>
    </row>
    <row r="32" spans="2:17">
      <c r="B32" s="1" t="e">
        <f>I17*10^((B31-I18)/50)</f>
        <v>#NUM!</v>
      </c>
    </row>
  </sheetData>
  <mergeCells count="14">
    <mergeCell ref="H23:I23"/>
    <mergeCell ref="H24:I24"/>
    <mergeCell ref="H25:I25"/>
    <mergeCell ref="H26:I26"/>
    <mergeCell ref="H27:I27"/>
    <mergeCell ref="B22:C22"/>
    <mergeCell ref="H5:I5"/>
    <mergeCell ref="K5:L5"/>
    <mergeCell ref="O7:P7"/>
    <mergeCell ref="N5:Q5"/>
    <mergeCell ref="B5:C5"/>
    <mergeCell ref="Q6:Q9"/>
    <mergeCell ref="O6:P6"/>
    <mergeCell ref="E5:F5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Q32"/>
  <sheetViews>
    <sheetView workbookViewId="0">
      <selection activeCell="C23" sqref="C23:C25"/>
    </sheetView>
  </sheetViews>
  <sheetFormatPr defaultRowHeight="16.5"/>
  <cols>
    <col min="2" max="2" width="30" style="2" customWidth="1"/>
    <col min="3" max="3" width="12" style="2" customWidth="1"/>
    <col min="4" max="4" width="6.625" style="2" customWidth="1"/>
    <col min="5" max="5" width="30" style="2" customWidth="1"/>
    <col min="6" max="6" width="12" customWidth="1"/>
    <col min="8" max="8" width="28" style="2" customWidth="1"/>
    <col min="9" max="9" width="15" style="2" customWidth="1"/>
    <col min="11" max="11" width="15" style="2" customWidth="1"/>
    <col min="12" max="12" width="14" customWidth="1"/>
    <col min="14" max="14" width="40" style="2" customWidth="1"/>
    <col min="15" max="15" width="14" style="2" customWidth="1"/>
    <col min="16" max="16" width="22" style="2" customWidth="1"/>
    <col min="17" max="17" width="40" style="2" customWidth="1"/>
  </cols>
  <sheetData>
    <row r="1" spans="2:17" s="2" customFormat="1" ht="17.2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s="2" customFormat="1" ht="17.25" customHeight="1">
      <c r="B2" s="6" t="s">
        <v>218</v>
      </c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s="2" customFormat="1" ht="17.25" customHeight="1">
      <c r="B3" s="6" t="s">
        <v>120</v>
      </c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s="2" customFormat="1" ht="17.2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s="2" customFormat="1" ht="27.95" customHeight="1">
      <c r="B5" s="91" t="s">
        <v>219</v>
      </c>
      <c r="C5" s="92"/>
      <c r="D5" s="3"/>
      <c r="E5" s="91" t="s">
        <v>220</v>
      </c>
      <c r="F5" s="92"/>
      <c r="G5" s="3"/>
      <c r="H5" s="93" t="s">
        <v>337</v>
      </c>
      <c r="I5" s="94"/>
      <c r="J5" s="3"/>
      <c r="K5" s="91" t="s">
        <v>221</v>
      </c>
      <c r="L5" s="92"/>
      <c r="M5" s="3"/>
      <c r="N5" s="93" t="s">
        <v>222</v>
      </c>
      <c r="O5" s="97"/>
      <c r="P5" s="97"/>
      <c r="Q5" s="94"/>
    </row>
    <row r="6" spans="2:17" s="2" customFormat="1" ht="19.5" customHeight="1">
      <c r="B6" s="9" t="s">
        <v>223</v>
      </c>
      <c r="C6" s="10"/>
      <c r="D6" s="3"/>
      <c r="E6" s="9" t="s">
        <v>223</v>
      </c>
      <c r="F6" s="11"/>
      <c r="G6" s="3"/>
      <c r="H6" s="9" t="s">
        <v>176</v>
      </c>
      <c r="I6" s="10"/>
      <c r="J6" s="3"/>
      <c r="K6" s="12" t="s">
        <v>224</v>
      </c>
      <c r="L6" s="13" t="s">
        <v>225</v>
      </c>
      <c r="M6" s="3"/>
      <c r="N6" s="9" t="s">
        <v>223</v>
      </c>
      <c r="O6" s="100"/>
      <c r="P6" s="101"/>
      <c r="Q6" s="98"/>
    </row>
    <row r="7" spans="2:17" s="2" customFormat="1" ht="20.25" customHeight="1">
      <c r="B7" s="14" t="s">
        <v>226</v>
      </c>
      <c r="C7" s="15"/>
      <c r="D7" s="3"/>
      <c r="E7" s="14" t="s">
        <v>227</v>
      </c>
      <c r="F7" s="16"/>
      <c r="G7" s="3"/>
      <c r="H7" s="17" t="s">
        <v>228</v>
      </c>
      <c r="I7" s="18"/>
      <c r="J7" s="3"/>
      <c r="K7" s="19" t="s">
        <v>13</v>
      </c>
      <c r="L7" s="20" t="s">
        <v>14</v>
      </c>
      <c r="M7" s="3"/>
      <c r="N7" s="14" t="s">
        <v>226</v>
      </c>
      <c r="O7" s="95"/>
      <c r="P7" s="96"/>
      <c r="Q7" s="99"/>
    </row>
    <row r="8" spans="2:17" s="2" customFormat="1" ht="20.25" customHeight="1">
      <c r="B8" s="17" t="s">
        <v>229</v>
      </c>
      <c r="C8" s="18"/>
      <c r="D8" s="3"/>
      <c r="E8" s="17" t="s">
        <v>230</v>
      </c>
      <c r="F8" s="21"/>
      <c r="G8" s="3"/>
      <c r="H8" s="22" t="s">
        <v>17</v>
      </c>
      <c r="I8" s="23" t="e">
        <f>I17*10^((I21-I18)/50)</f>
        <v>#NUM!</v>
      </c>
      <c r="J8" s="3"/>
      <c r="K8" s="19" t="s">
        <v>18</v>
      </c>
      <c r="L8" s="20" t="s">
        <v>14</v>
      </c>
      <c r="M8" s="3"/>
      <c r="N8" s="14" t="s">
        <v>231</v>
      </c>
      <c r="O8" s="24" t="s">
        <v>20</v>
      </c>
      <c r="P8" s="15" t="str">
        <f>INDEX(L7:L20, MATCH(O8, K7:K20, 0), 1)</f>
        <v>16:10</v>
      </c>
      <c r="Q8" s="99"/>
    </row>
    <row r="9" spans="2:17" s="2" customFormat="1" ht="20.25" customHeight="1">
      <c r="B9" s="9" t="s">
        <v>232</v>
      </c>
      <c r="C9" s="25">
        <f>C8-C6</f>
        <v>0</v>
      </c>
      <c r="D9" s="3"/>
      <c r="E9" s="26" t="s">
        <v>186</v>
      </c>
      <c r="F9" s="27" t="e">
        <f>LOG(F7/F8,10)</f>
        <v>#DIV/0!</v>
      </c>
      <c r="G9" s="3"/>
      <c r="H9" s="3"/>
      <c r="I9" s="3"/>
      <c r="J9" s="3"/>
      <c r="K9" s="19" t="s">
        <v>23</v>
      </c>
      <c r="L9" s="20" t="s">
        <v>14</v>
      </c>
      <c r="M9" s="3"/>
      <c r="N9" s="17" t="s">
        <v>233</v>
      </c>
      <c r="O9" s="28" t="s">
        <v>25</v>
      </c>
      <c r="P9" s="18" t="str">
        <f>INDEX(L7:L20, MATCH(O9, K7:K20, 0), 1)</f>
        <v>16:9</v>
      </c>
      <c r="Q9" s="99"/>
    </row>
    <row r="10" spans="2:17" s="2" customFormat="1" ht="24" customHeight="1">
      <c r="B10" s="17" t="s">
        <v>234</v>
      </c>
      <c r="C10" s="29">
        <f>10^(C9/50)</f>
        <v>1</v>
      </c>
      <c r="D10" s="3"/>
      <c r="E10" s="22" t="s">
        <v>229</v>
      </c>
      <c r="F10" s="23" t="e">
        <f>F6+50*F9</f>
        <v>#DIV/0!</v>
      </c>
      <c r="G10" s="3"/>
      <c r="H10" s="3"/>
      <c r="I10" s="3"/>
      <c r="J10" s="3"/>
      <c r="K10" s="19" t="s">
        <v>25</v>
      </c>
      <c r="L10" s="20" t="s">
        <v>14</v>
      </c>
      <c r="M10" s="3"/>
      <c r="N10" s="9" t="s">
        <v>235</v>
      </c>
      <c r="O10" s="30" t="s">
        <v>236</v>
      </c>
      <c r="P10" s="31" t="s">
        <v>141</v>
      </c>
      <c r="Q10" s="13" t="s">
        <v>237</v>
      </c>
    </row>
    <row r="11" spans="2:17" s="2" customFormat="1" ht="24" customHeight="1">
      <c r="B11" s="32" t="s">
        <v>143</v>
      </c>
      <c r="C11" s="33">
        <f>C7*1/C10</f>
        <v>0</v>
      </c>
      <c r="D11" s="3"/>
      <c r="E11" s="3"/>
      <c r="F11" s="3"/>
      <c r="G11" s="3"/>
      <c r="H11" s="3"/>
      <c r="I11" s="3"/>
      <c r="J11" s="3"/>
      <c r="K11" s="19" t="s">
        <v>31</v>
      </c>
      <c r="L11" s="20" t="s">
        <v>32</v>
      </c>
      <c r="M11" s="3"/>
      <c r="N11" s="14" t="s">
        <v>238</v>
      </c>
      <c r="O11" s="34">
        <f>O6</f>
        <v>0</v>
      </c>
      <c r="P11" s="35">
        <f>O7*1.11</f>
        <v>0</v>
      </c>
      <c r="Q11" s="36" t="s">
        <v>239</v>
      </c>
    </row>
    <row r="12" spans="2:17" s="2" customFormat="1" ht="24" customHeight="1">
      <c r="B12" s="14" t="s">
        <v>146</v>
      </c>
      <c r="C12" s="37">
        <f>ROUND(C11,2)</f>
        <v>0</v>
      </c>
      <c r="D12" s="3"/>
      <c r="E12" s="3"/>
      <c r="F12" s="3"/>
      <c r="G12" s="3"/>
      <c r="H12" s="3"/>
      <c r="I12" s="3"/>
      <c r="J12" s="3"/>
      <c r="K12" s="19" t="s">
        <v>36</v>
      </c>
      <c r="L12" s="20" t="s">
        <v>14</v>
      </c>
      <c r="M12" s="3"/>
      <c r="N12" s="14" t="s">
        <v>240</v>
      </c>
      <c r="O12" s="34">
        <f>O6</f>
        <v>0</v>
      </c>
      <c r="P12" s="35">
        <f>O7/1.11</f>
        <v>0</v>
      </c>
      <c r="Q12" s="36" t="s">
        <v>241</v>
      </c>
    </row>
    <row r="13" spans="2:17" s="2" customFormat="1" ht="24" customHeight="1">
      <c r="B13" s="17" t="s">
        <v>242</v>
      </c>
      <c r="C13" s="38">
        <f>ROUNDDOWN(C11,2)</f>
        <v>0</v>
      </c>
      <c r="D13" s="3"/>
      <c r="E13" s="3"/>
      <c r="F13" s="3"/>
      <c r="G13" s="3"/>
      <c r="H13" s="3"/>
      <c r="I13" s="3"/>
      <c r="J13" s="3"/>
      <c r="K13" s="19" t="s">
        <v>40</v>
      </c>
      <c r="L13" s="20" t="s">
        <v>32</v>
      </c>
      <c r="M13" s="3"/>
      <c r="N13" s="14" t="s">
        <v>243</v>
      </c>
      <c r="O13" s="34">
        <f>O6</f>
        <v>0</v>
      </c>
      <c r="P13" s="35">
        <f>O7*0.85</f>
        <v>0</v>
      </c>
      <c r="Q13" s="36" t="s">
        <v>244</v>
      </c>
    </row>
    <row r="14" spans="2:17" s="2" customFormat="1" ht="24" customHeight="1">
      <c r="B14" s="3"/>
      <c r="C14" s="3"/>
      <c r="D14" s="3"/>
      <c r="E14" s="3"/>
      <c r="F14" s="3"/>
      <c r="G14" s="3"/>
      <c r="H14" s="3"/>
      <c r="I14" s="3"/>
      <c r="J14" s="3"/>
      <c r="K14" s="19" t="s">
        <v>43</v>
      </c>
      <c r="L14" s="20" t="s">
        <v>14</v>
      </c>
      <c r="M14" s="3"/>
      <c r="N14" s="39" t="s">
        <v>245</v>
      </c>
      <c r="O14" s="34">
        <f>O6</f>
        <v>0</v>
      </c>
      <c r="P14" s="35">
        <f>O7/0.85</f>
        <v>0</v>
      </c>
      <c r="Q14" s="36" t="s">
        <v>246</v>
      </c>
    </row>
    <row r="15" spans="2:17" s="2" customFormat="1" ht="24" customHeight="1">
      <c r="B15" s="3"/>
      <c r="C15" s="3"/>
      <c r="D15" s="3"/>
      <c r="E15" s="3"/>
      <c r="F15" s="3"/>
      <c r="G15" s="3"/>
      <c r="H15" s="3"/>
      <c r="I15" s="3"/>
      <c r="J15" s="3"/>
      <c r="K15" s="19" t="s">
        <v>20</v>
      </c>
      <c r="L15" s="20" t="s">
        <v>46</v>
      </c>
      <c r="M15" s="3"/>
      <c r="N15" s="14" t="s">
        <v>247</v>
      </c>
      <c r="O15" s="34">
        <f>O6</f>
        <v>0</v>
      </c>
      <c r="P15" s="35">
        <f>O7*1.33</f>
        <v>0</v>
      </c>
      <c r="Q15" s="36" t="s">
        <v>248</v>
      </c>
    </row>
    <row r="16" spans="2:17" s="2" customFormat="1" ht="24" customHeight="1">
      <c r="B16" s="3"/>
      <c r="C16" s="3"/>
      <c r="D16" s="3"/>
      <c r="E16" s="3"/>
      <c r="F16" s="3"/>
      <c r="G16" s="3"/>
      <c r="H16" s="3"/>
      <c r="I16" s="3"/>
      <c r="J16" s="3"/>
      <c r="K16" s="19" t="s">
        <v>49</v>
      </c>
      <c r="L16" s="20" t="s">
        <v>46</v>
      </c>
      <c r="M16" s="3"/>
      <c r="N16" s="17" t="s">
        <v>249</v>
      </c>
      <c r="O16" s="40">
        <f>O6</f>
        <v>0</v>
      </c>
      <c r="P16" s="41">
        <f>O7/1.33</f>
        <v>0</v>
      </c>
      <c r="Q16" s="42" t="s">
        <v>250</v>
      </c>
    </row>
    <row r="17" spans="2:17">
      <c r="B17" s="3"/>
      <c r="C17" s="3"/>
      <c r="D17" s="3"/>
      <c r="E17" s="3"/>
      <c r="F17" s="3"/>
      <c r="G17" s="3"/>
      <c r="H17" s="43" t="s">
        <v>251</v>
      </c>
      <c r="I17" s="43">
        <v>800</v>
      </c>
      <c r="J17" s="3"/>
      <c r="K17" s="19" t="s">
        <v>53</v>
      </c>
      <c r="L17" s="20" t="s">
        <v>46</v>
      </c>
      <c r="M17" s="3"/>
      <c r="N17" s="3"/>
      <c r="O17" s="3"/>
      <c r="P17" s="3"/>
      <c r="Q17" s="3"/>
    </row>
    <row r="18" spans="2:17" s="2" customFormat="1" ht="18.75" customHeight="1">
      <c r="B18" s="3"/>
      <c r="C18" s="3"/>
      <c r="D18" s="3"/>
      <c r="E18" s="3"/>
      <c r="F18" s="3"/>
      <c r="G18" s="3"/>
      <c r="H18" s="43" t="s">
        <v>252</v>
      </c>
      <c r="I18" s="43">
        <v>11</v>
      </c>
      <c r="J18" s="3"/>
      <c r="K18" s="19" t="s">
        <v>55</v>
      </c>
      <c r="L18" s="20" t="s">
        <v>46</v>
      </c>
      <c r="M18" s="3"/>
      <c r="N18" s="5" t="s">
        <v>253</v>
      </c>
      <c r="O18" s="5"/>
      <c r="P18" s="5"/>
      <c r="Q18" s="5"/>
    </row>
    <row r="19" spans="2:17" s="2" customFormat="1" ht="18.75" customHeight="1">
      <c r="B19" s="3"/>
      <c r="C19" s="3"/>
      <c r="D19" s="3"/>
      <c r="E19" s="3"/>
      <c r="F19" s="3"/>
      <c r="G19" s="3"/>
      <c r="H19" s="43" t="s">
        <v>338</v>
      </c>
      <c r="I19" s="43">
        <f>(I17*I18)/11</f>
        <v>800</v>
      </c>
      <c r="J19" s="3"/>
      <c r="K19" s="19" t="s">
        <v>57</v>
      </c>
      <c r="L19" s="20" t="s">
        <v>58</v>
      </c>
      <c r="M19" s="3"/>
      <c r="N19" s="5" t="s">
        <v>210</v>
      </c>
      <c r="O19" s="5"/>
      <c r="P19" s="5"/>
      <c r="Q19" s="5"/>
    </row>
    <row r="20" spans="2:17" s="2" customFormat="1" ht="18.75" customHeight="1">
      <c r="B20" s="3"/>
      <c r="C20" s="3"/>
      <c r="D20" s="3"/>
      <c r="E20" s="3"/>
      <c r="F20" s="3"/>
      <c r="G20" s="3"/>
      <c r="H20" s="43" t="s">
        <v>186</v>
      </c>
      <c r="I20" s="43" t="e">
        <f>LOG(I6/I17,10)</f>
        <v>#NUM!</v>
      </c>
      <c r="J20" s="3"/>
      <c r="K20" s="44" t="s">
        <v>60</v>
      </c>
      <c r="L20" s="45" t="s">
        <v>58</v>
      </c>
      <c r="M20" s="3"/>
      <c r="N20" s="5" t="s">
        <v>254</v>
      </c>
      <c r="O20" s="5"/>
      <c r="P20" s="5"/>
      <c r="Q20" s="5"/>
    </row>
    <row r="21" spans="2:17" s="2" customFormat="1" ht="17.25" customHeight="1">
      <c r="B21" s="3"/>
      <c r="C21" s="3"/>
      <c r="D21" s="3"/>
      <c r="E21" s="3"/>
      <c r="F21" s="3"/>
      <c r="G21" s="3"/>
      <c r="H21" s="43" t="s">
        <v>255</v>
      </c>
      <c r="I21" s="43" t="e">
        <f>I7+50*I20</f>
        <v>#NUM!</v>
      </c>
      <c r="J21" s="3"/>
      <c r="K21" s="3"/>
      <c r="L21" s="3"/>
      <c r="M21" s="3"/>
      <c r="N21" s="3"/>
      <c r="O21" s="3"/>
      <c r="P21" s="3"/>
      <c r="Q21" s="3"/>
    </row>
    <row r="22" spans="2:17" s="2" customFormat="1" ht="27.95" customHeight="1">
      <c r="B22" s="91" t="s">
        <v>256</v>
      </c>
      <c r="C22" s="92"/>
      <c r="D22" s="3"/>
      <c r="E22" s="3"/>
      <c r="F22" s="3"/>
      <c r="G22" s="3"/>
      <c r="H22" s="43"/>
      <c r="I22" s="43"/>
      <c r="J22" s="3"/>
      <c r="K22" s="3"/>
      <c r="L22" s="3"/>
      <c r="M22" s="3"/>
      <c r="N22" s="3"/>
      <c r="O22" s="3"/>
      <c r="P22" s="3"/>
      <c r="Q22" s="3"/>
    </row>
    <row r="23" spans="2:17" s="2" customFormat="1" ht="21.95" customHeight="1">
      <c r="B23" s="9" t="s">
        <v>257</v>
      </c>
      <c r="C23" s="10"/>
      <c r="D23" s="3"/>
      <c r="E23" s="3"/>
      <c r="F23" s="3"/>
      <c r="G23" s="3"/>
      <c r="H23" s="102" t="s">
        <v>339</v>
      </c>
      <c r="I23" s="102"/>
      <c r="J23" s="3"/>
      <c r="K23" s="3"/>
      <c r="L23" s="3"/>
      <c r="M23" s="3"/>
      <c r="N23" s="3"/>
      <c r="O23" s="3"/>
      <c r="P23" s="3"/>
      <c r="Q23" s="3"/>
    </row>
    <row r="24" spans="2:17" s="2" customFormat="1" ht="21.95" customHeight="1">
      <c r="B24" s="14" t="s">
        <v>141</v>
      </c>
      <c r="C24" s="15"/>
      <c r="D24" s="3"/>
      <c r="E24" s="3"/>
      <c r="F24" s="3"/>
      <c r="G24" s="3"/>
      <c r="H24" s="103" t="s">
        <v>340</v>
      </c>
      <c r="I24" s="103"/>
      <c r="J24" s="3"/>
      <c r="K24" s="3"/>
      <c r="L24" s="3"/>
      <c r="M24" s="3"/>
      <c r="N24" s="3"/>
      <c r="O24" s="3"/>
      <c r="P24" s="3"/>
      <c r="Q24" s="3"/>
    </row>
    <row r="25" spans="2:17" s="2" customFormat="1" ht="21.95" customHeight="1">
      <c r="B25" s="46" t="s">
        <v>115</v>
      </c>
      <c r="C25" s="47"/>
      <c r="D25" s="3"/>
      <c r="E25" s="43"/>
      <c r="F25" s="3"/>
      <c r="G25" s="3"/>
      <c r="H25" s="103" t="s">
        <v>341</v>
      </c>
      <c r="I25" s="103"/>
      <c r="J25" s="3"/>
      <c r="K25" s="3"/>
      <c r="L25" s="3"/>
      <c r="M25" s="3"/>
      <c r="N25" s="3"/>
      <c r="O25" s="3"/>
      <c r="P25" s="3"/>
      <c r="Q25" s="3"/>
    </row>
    <row r="26" spans="2:17" s="2" customFormat="1" ht="21.95" customHeight="1">
      <c r="B26" s="9" t="s">
        <v>215</v>
      </c>
      <c r="C26" s="48" t="e">
        <f>B32*C24</f>
        <v>#NUM!</v>
      </c>
      <c r="D26" s="3"/>
      <c r="E26" s="3"/>
      <c r="F26" s="3"/>
      <c r="G26" s="3"/>
      <c r="H26" s="103" t="s">
        <v>342</v>
      </c>
      <c r="I26" s="103"/>
      <c r="J26" s="3"/>
      <c r="K26" s="3"/>
      <c r="L26" s="3"/>
      <c r="M26" s="3"/>
      <c r="N26" s="3"/>
      <c r="O26" s="3"/>
      <c r="P26" s="3"/>
      <c r="Q26" s="3"/>
    </row>
    <row r="27" spans="2:17" s="2" customFormat="1" ht="21.95" customHeight="1">
      <c r="B27" s="14" t="s">
        <v>258</v>
      </c>
      <c r="C27" s="37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3"/>
      <c r="E27" s="3"/>
      <c r="F27" s="3"/>
      <c r="G27" s="3"/>
      <c r="H27" s="103" t="s">
        <v>343</v>
      </c>
      <c r="I27" s="103"/>
      <c r="J27" s="3"/>
      <c r="K27" s="3"/>
      <c r="L27" s="3"/>
      <c r="M27" s="3"/>
      <c r="N27" s="3"/>
      <c r="O27" s="3"/>
      <c r="P27" s="3"/>
      <c r="Q27" s="3"/>
    </row>
    <row r="28" spans="2:17" s="2" customFormat="1" ht="20.25" customHeight="1">
      <c r="B28" s="17" t="s">
        <v>259</v>
      </c>
      <c r="C28" s="38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2:17">
      <c r="B30" s="1" t="e">
        <f>LOG(C25/I17,10)</f>
        <v>#NUM!</v>
      </c>
    </row>
    <row r="31" spans="2:17">
      <c r="B31" s="1" t="e">
        <f>C23+50*B30</f>
        <v>#NUM!</v>
      </c>
    </row>
    <row r="32" spans="2:17">
      <c r="B32" s="1" t="e">
        <f>I17*10^((B31-I18)/50)</f>
        <v>#NUM!</v>
      </c>
    </row>
  </sheetData>
  <mergeCells count="14">
    <mergeCell ref="H23:I23"/>
    <mergeCell ref="H24:I24"/>
    <mergeCell ref="H25:I25"/>
    <mergeCell ref="H26:I26"/>
    <mergeCell ref="H27:I27"/>
    <mergeCell ref="B22:C22"/>
    <mergeCell ref="H5:I5"/>
    <mergeCell ref="K5:L5"/>
    <mergeCell ref="O7:P7"/>
    <mergeCell ref="N5:Q5"/>
    <mergeCell ref="B5:C5"/>
    <mergeCell ref="Q6:Q9"/>
    <mergeCell ref="O6:P6"/>
    <mergeCell ref="E5:F5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Q32"/>
  <sheetViews>
    <sheetView workbookViewId="0">
      <selection activeCell="C23" sqref="C23:C25"/>
    </sheetView>
  </sheetViews>
  <sheetFormatPr defaultRowHeight="16.5"/>
  <cols>
    <col min="2" max="2" width="30" style="2" customWidth="1"/>
    <col min="3" max="3" width="12" style="2" customWidth="1"/>
    <col min="4" max="4" width="6.625" style="2" customWidth="1"/>
    <col min="5" max="5" width="30" style="2" customWidth="1"/>
    <col min="6" max="6" width="12" customWidth="1"/>
    <col min="8" max="8" width="28" style="2" customWidth="1"/>
    <col min="9" max="9" width="15" style="2" customWidth="1"/>
    <col min="11" max="11" width="15" style="2" customWidth="1"/>
    <col min="12" max="12" width="14" customWidth="1"/>
    <col min="14" max="14" width="40" style="2" customWidth="1"/>
    <col min="15" max="15" width="14" style="2" customWidth="1"/>
    <col min="16" max="16" width="22" style="2" customWidth="1"/>
    <col min="17" max="17" width="40" style="2" customWidth="1"/>
  </cols>
  <sheetData>
    <row r="1" spans="2:17" s="2" customFormat="1" ht="17.25" customHeight="1"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2:17" s="2" customFormat="1" ht="17.25" customHeight="1">
      <c r="B2" s="50" t="s">
        <v>260</v>
      </c>
      <c r="C2" s="51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2:17" s="2" customFormat="1" ht="17.25" customHeight="1">
      <c r="B3" s="50" t="s">
        <v>261</v>
      </c>
      <c r="C3" s="52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</row>
    <row r="4" spans="2:17" s="2" customFormat="1" ht="17.25" customHeight="1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</row>
    <row r="5" spans="2:17" s="2" customFormat="1" ht="27.95" customHeight="1">
      <c r="B5" s="108" t="s">
        <v>262</v>
      </c>
      <c r="C5" s="109"/>
      <c r="D5" s="90"/>
      <c r="E5" s="108" t="s">
        <v>263</v>
      </c>
      <c r="F5" s="109"/>
      <c r="G5" s="90"/>
      <c r="H5" s="106" t="s">
        <v>344</v>
      </c>
      <c r="I5" s="107"/>
      <c r="J5" s="90"/>
      <c r="K5" s="108" t="s">
        <v>264</v>
      </c>
      <c r="L5" s="109"/>
      <c r="M5" s="90"/>
      <c r="N5" s="106" t="s">
        <v>265</v>
      </c>
      <c r="O5" s="112"/>
      <c r="P5" s="112"/>
      <c r="Q5" s="107"/>
    </row>
    <row r="6" spans="2:17" s="2" customFormat="1" ht="19.5" customHeight="1">
      <c r="B6" s="53" t="s">
        <v>266</v>
      </c>
      <c r="C6" s="54"/>
      <c r="D6" s="49"/>
      <c r="E6" s="53" t="s">
        <v>266</v>
      </c>
      <c r="F6" s="55"/>
      <c r="G6" s="49"/>
      <c r="H6" s="53" t="s">
        <v>267</v>
      </c>
      <c r="I6" s="54"/>
      <c r="J6" s="49"/>
      <c r="K6" s="53" t="s">
        <v>268</v>
      </c>
      <c r="L6" s="56" t="s">
        <v>269</v>
      </c>
      <c r="M6" s="49"/>
      <c r="N6" s="53" t="s">
        <v>266</v>
      </c>
      <c r="O6" s="115"/>
      <c r="P6" s="116"/>
      <c r="Q6" s="113"/>
    </row>
    <row r="7" spans="2:17" s="2" customFormat="1" ht="20.25" customHeight="1">
      <c r="B7" s="57" t="s">
        <v>270</v>
      </c>
      <c r="C7" s="58"/>
      <c r="D7" s="49"/>
      <c r="E7" s="57" t="s">
        <v>271</v>
      </c>
      <c r="F7" s="59"/>
      <c r="G7" s="49"/>
      <c r="H7" s="60" t="s">
        <v>272</v>
      </c>
      <c r="I7" s="61"/>
      <c r="J7" s="49"/>
      <c r="K7" s="57" t="s">
        <v>13</v>
      </c>
      <c r="L7" s="62" t="s">
        <v>14</v>
      </c>
      <c r="M7" s="49"/>
      <c r="N7" s="57" t="s">
        <v>270</v>
      </c>
      <c r="O7" s="110"/>
      <c r="P7" s="111"/>
      <c r="Q7" s="114"/>
    </row>
    <row r="8" spans="2:17" s="2" customFormat="1" ht="20.25" customHeight="1">
      <c r="B8" s="60" t="s">
        <v>273</v>
      </c>
      <c r="C8" s="61"/>
      <c r="D8" s="49"/>
      <c r="E8" s="60" t="s">
        <v>274</v>
      </c>
      <c r="F8" s="63"/>
      <c r="G8" s="49"/>
      <c r="H8" s="64" t="s">
        <v>17</v>
      </c>
      <c r="I8" s="65" t="e">
        <f>I17*10^((I21-I18)/50)</f>
        <v>#NUM!</v>
      </c>
      <c r="J8" s="49"/>
      <c r="K8" s="57" t="s">
        <v>18</v>
      </c>
      <c r="L8" s="62" t="s">
        <v>14</v>
      </c>
      <c r="M8" s="49"/>
      <c r="N8" s="57" t="s">
        <v>275</v>
      </c>
      <c r="O8" s="66" t="s">
        <v>20</v>
      </c>
      <c r="P8" s="58" t="str">
        <f>INDEX(L7:L20, MATCH(O8, K7:K20, 0), 1)</f>
        <v>16:10</v>
      </c>
      <c r="Q8" s="114"/>
    </row>
    <row r="9" spans="2:17" s="2" customFormat="1" ht="20.25" customHeight="1">
      <c r="B9" s="53" t="s">
        <v>276</v>
      </c>
      <c r="C9" s="56">
        <f>C8-C6</f>
        <v>0</v>
      </c>
      <c r="D9" s="49"/>
      <c r="E9" s="67" t="s">
        <v>277</v>
      </c>
      <c r="F9" s="68" t="e">
        <f>LOG(F7/F8,10)</f>
        <v>#DIV/0!</v>
      </c>
      <c r="G9" s="49"/>
      <c r="H9" s="49"/>
      <c r="I9" s="49"/>
      <c r="J9" s="49"/>
      <c r="K9" s="57" t="s">
        <v>23</v>
      </c>
      <c r="L9" s="62" t="s">
        <v>14</v>
      </c>
      <c r="M9" s="49"/>
      <c r="N9" s="60" t="s">
        <v>278</v>
      </c>
      <c r="O9" s="69" t="s">
        <v>25</v>
      </c>
      <c r="P9" s="61" t="str">
        <f>INDEX(L7:L20, MATCH(O9, K7:K20, 0), 1)</f>
        <v>16:9</v>
      </c>
      <c r="Q9" s="114"/>
    </row>
    <row r="10" spans="2:17" s="2" customFormat="1" ht="24" customHeight="1">
      <c r="B10" s="60" t="s">
        <v>279</v>
      </c>
      <c r="C10" s="70">
        <f>10^(C9/50)</f>
        <v>1</v>
      </c>
      <c r="D10" s="49"/>
      <c r="E10" s="64" t="s">
        <v>273</v>
      </c>
      <c r="F10" s="65" t="e">
        <f>F6+50*F9</f>
        <v>#DIV/0!</v>
      </c>
      <c r="G10" s="49"/>
      <c r="H10" s="49"/>
      <c r="I10" s="49"/>
      <c r="J10" s="49"/>
      <c r="K10" s="57" t="s">
        <v>25</v>
      </c>
      <c r="L10" s="62" t="s">
        <v>14</v>
      </c>
      <c r="M10" s="49"/>
      <c r="N10" s="53" t="s">
        <v>280</v>
      </c>
      <c r="O10" s="71" t="s">
        <v>281</v>
      </c>
      <c r="P10" s="72" t="s">
        <v>282</v>
      </c>
      <c r="Q10" s="56" t="s">
        <v>283</v>
      </c>
    </row>
    <row r="11" spans="2:17" s="2" customFormat="1" ht="24" customHeight="1">
      <c r="B11" s="73" t="s">
        <v>284</v>
      </c>
      <c r="C11" s="74">
        <f>C7*1/C10</f>
        <v>0</v>
      </c>
      <c r="D11" s="49"/>
      <c r="E11" s="49"/>
      <c r="F11" s="49"/>
      <c r="G11" s="49"/>
      <c r="H11" s="49"/>
      <c r="I11" s="49"/>
      <c r="J11" s="49"/>
      <c r="K11" s="57" t="s">
        <v>31</v>
      </c>
      <c r="L11" s="62" t="s">
        <v>32</v>
      </c>
      <c r="M11" s="49"/>
      <c r="N11" s="57" t="s">
        <v>285</v>
      </c>
      <c r="O11" s="75">
        <f>O6</f>
        <v>0</v>
      </c>
      <c r="P11" s="76">
        <f>O7*1.11</f>
        <v>0</v>
      </c>
      <c r="Q11" s="77" t="s">
        <v>286</v>
      </c>
    </row>
    <row r="12" spans="2:17" s="2" customFormat="1" ht="24" customHeight="1">
      <c r="B12" s="57" t="s">
        <v>287</v>
      </c>
      <c r="C12" s="78">
        <f>ROUND(C11,2)</f>
        <v>0</v>
      </c>
      <c r="D12" s="49"/>
      <c r="E12" s="49"/>
      <c r="F12" s="49"/>
      <c r="G12" s="49"/>
      <c r="H12" s="49"/>
      <c r="I12" s="49"/>
      <c r="J12" s="49"/>
      <c r="K12" s="57" t="s">
        <v>36</v>
      </c>
      <c r="L12" s="62" t="s">
        <v>14</v>
      </c>
      <c r="M12" s="49"/>
      <c r="N12" s="57" t="s">
        <v>288</v>
      </c>
      <c r="O12" s="75">
        <f>O6</f>
        <v>0</v>
      </c>
      <c r="P12" s="76">
        <f>O7/1.11</f>
        <v>0</v>
      </c>
      <c r="Q12" s="77" t="s">
        <v>289</v>
      </c>
    </row>
    <row r="13" spans="2:17" s="2" customFormat="1" ht="24" customHeight="1">
      <c r="B13" s="60" t="s">
        <v>290</v>
      </c>
      <c r="C13" s="79">
        <f>ROUNDDOWN(C11,2)</f>
        <v>0</v>
      </c>
      <c r="D13" s="49"/>
      <c r="E13" s="49"/>
      <c r="F13" s="49"/>
      <c r="G13" s="49"/>
      <c r="H13" s="49"/>
      <c r="I13" s="49"/>
      <c r="J13" s="49"/>
      <c r="K13" s="57" t="s">
        <v>40</v>
      </c>
      <c r="L13" s="62" t="s">
        <v>32</v>
      </c>
      <c r="M13" s="49"/>
      <c r="N13" s="57" t="s">
        <v>291</v>
      </c>
      <c r="O13" s="75">
        <f>O6</f>
        <v>0</v>
      </c>
      <c r="P13" s="76">
        <f>O7*0.85</f>
        <v>0</v>
      </c>
      <c r="Q13" s="77" t="s">
        <v>292</v>
      </c>
    </row>
    <row r="14" spans="2:17" s="2" customFormat="1" ht="24" customHeight="1">
      <c r="B14" s="49"/>
      <c r="C14" s="49"/>
      <c r="D14" s="49"/>
      <c r="E14" s="49"/>
      <c r="F14" s="49"/>
      <c r="G14" s="49"/>
      <c r="H14" s="49"/>
      <c r="I14" s="49"/>
      <c r="J14" s="49"/>
      <c r="K14" s="57" t="s">
        <v>43</v>
      </c>
      <c r="L14" s="62" t="s">
        <v>14</v>
      </c>
      <c r="M14" s="49"/>
      <c r="N14" s="80" t="s">
        <v>293</v>
      </c>
      <c r="O14" s="75">
        <f>O6</f>
        <v>0</v>
      </c>
      <c r="P14" s="76">
        <f>O7/0.85</f>
        <v>0</v>
      </c>
      <c r="Q14" s="77" t="s">
        <v>294</v>
      </c>
    </row>
    <row r="15" spans="2:17" s="2" customFormat="1" ht="24" customHeight="1">
      <c r="B15" s="49"/>
      <c r="C15" s="49"/>
      <c r="D15" s="49"/>
      <c r="E15" s="49"/>
      <c r="F15" s="49"/>
      <c r="G15" s="49"/>
      <c r="H15" s="49"/>
      <c r="I15" s="49"/>
      <c r="J15" s="49"/>
      <c r="K15" s="57" t="s">
        <v>20</v>
      </c>
      <c r="L15" s="62" t="s">
        <v>46</v>
      </c>
      <c r="M15" s="49"/>
      <c r="N15" s="57" t="s">
        <v>295</v>
      </c>
      <c r="O15" s="75">
        <f>O6</f>
        <v>0</v>
      </c>
      <c r="P15" s="76">
        <f>O7*1.33</f>
        <v>0</v>
      </c>
      <c r="Q15" s="77" t="s">
        <v>296</v>
      </c>
    </row>
    <row r="16" spans="2:17" s="2" customFormat="1" ht="24" customHeight="1">
      <c r="B16" s="49"/>
      <c r="C16" s="49"/>
      <c r="D16" s="49"/>
      <c r="E16" s="49"/>
      <c r="F16" s="49"/>
      <c r="G16" s="49"/>
      <c r="H16" s="49"/>
      <c r="I16" s="49"/>
      <c r="J16" s="49"/>
      <c r="K16" s="57" t="s">
        <v>49</v>
      </c>
      <c r="L16" s="62" t="s">
        <v>46</v>
      </c>
      <c r="M16" s="49"/>
      <c r="N16" s="60" t="s">
        <v>297</v>
      </c>
      <c r="O16" s="81">
        <f>O6</f>
        <v>0</v>
      </c>
      <c r="P16" s="82">
        <f>O7/1.33</f>
        <v>0</v>
      </c>
      <c r="Q16" s="83" t="s">
        <v>298</v>
      </c>
    </row>
    <row r="17" spans="2:17">
      <c r="B17" s="49"/>
      <c r="C17" s="49"/>
      <c r="D17" s="49"/>
      <c r="E17" s="49"/>
      <c r="F17" s="49"/>
      <c r="G17" s="49"/>
      <c r="H17" s="84" t="s">
        <v>299</v>
      </c>
      <c r="I17" s="84">
        <v>800</v>
      </c>
      <c r="J17" s="49"/>
      <c r="K17" s="57" t="s">
        <v>53</v>
      </c>
      <c r="L17" s="62" t="s">
        <v>46</v>
      </c>
      <c r="M17" s="49"/>
      <c r="N17" s="49"/>
      <c r="O17" s="49"/>
      <c r="P17" s="49"/>
      <c r="Q17" s="49"/>
    </row>
    <row r="18" spans="2:17" s="2" customFormat="1" ht="18.75" customHeight="1">
      <c r="B18" s="49"/>
      <c r="C18" s="49"/>
      <c r="D18" s="49"/>
      <c r="E18" s="49"/>
      <c r="F18" s="49"/>
      <c r="G18" s="49"/>
      <c r="H18" s="84" t="s">
        <v>300</v>
      </c>
      <c r="I18" s="84">
        <v>11</v>
      </c>
      <c r="J18" s="49"/>
      <c r="K18" s="57" t="s">
        <v>55</v>
      </c>
      <c r="L18" s="62" t="s">
        <v>46</v>
      </c>
      <c r="M18" s="49"/>
      <c r="N18" s="85" t="s">
        <v>301</v>
      </c>
      <c r="O18" s="85"/>
      <c r="P18" s="85"/>
      <c r="Q18" s="85"/>
    </row>
    <row r="19" spans="2:17" s="2" customFormat="1" ht="18.75" customHeight="1">
      <c r="B19" s="49"/>
      <c r="C19" s="49"/>
      <c r="D19" s="49"/>
      <c r="E19" s="49"/>
      <c r="F19" s="49"/>
      <c r="G19" s="49"/>
      <c r="H19" s="84" t="s">
        <v>345</v>
      </c>
      <c r="I19" s="84">
        <f>(I17*I18)/11</f>
        <v>800</v>
      </c>
      <c r="J19" s="49"/>
      <c r="K19" s="57" t="s">
        <v>57</v>
      </c>
      <c r="L19" s="62" t="s">
        <v>58</v>
      </c>
      <c r="M19" s="49"/>
      <c r="N19" s="85" t="s">
        <v>302</v>
      </c>
      <c r="O19" s="85"/>
      <c r="P19" s="85"/>
      <c r="Q19" s="85"/>
    </row>
    <row r="20" spans="2:17" s="2" customFormat="1" ht="18.75" customHeight="1">
      <c r="B20" s="49"/>
      <c r="C20" s="49"/>
      <c r="D20" s="49"/>
      <c r="E20" s="49"/>
      <c r="F20" s="49"/>
      <c r="G20" s="49"/>
      <c r="H20" s="84" t="s">
        <v>277</v>
      </c>
      <c r="I20" s="84" t="e">
        <f>LOG(I6/I17,10)</f>
        <v>#NUM!</v>
      </c>
      <c r="J20" s="49"/>
      <c r="K20" s="60" t="s">
        <v>60</v>
      </c>
      <c r="L20" s="86" t="s">
        <v>58</v>
      </c>
      <c r="M20" s="49"/>
      <c r="N20" s="85" t="s">
        <v>303</v>
      </c>
      <c r="O20" s="85"/>
      <c r="P20" s="85"/>
      <c r="Q20" s="85"/>
    </row>
    <row r="21" spans="2:17" s="2" customFormat="1" ht="17.25" customHeight="1">
      <c r="B21" s="49"/>
      <c r="C21" s="49"/>
      <c r="D21" s="49"/>
      <c r="E21" s="49"/>
      <c r="F21" s="49"/>
      <c r="G21" s="49"/>
      <c r="H21" s="84" t="s">
        <v>304</v>
      </c>
      <c r="I21" s="84" t="e">
        <f>I7+50*I20</f>
        <v>#NUM!</v>
      </c>
      <c r="J21" s="49"/>
      <c r="K21" s="49"/>
      <c r="L21" s="49"/>
      <c r="M21" s="49"/>
      <c r="N21" s="49"/>
      <c r="O21" s="49"/>
      <c r="P21" s="49"/>
      <c r="Q21" s="49"/>
    </row>
    <row r="22" spans="2:17" s="2" customFormat="1" ht="27.95" customHeight="1">
      <c r="B22" s="104" t="s">
        <v>305</v>
      </c>
      <c r="C22" s="105"/>
      <c r="D22" s="49"/>
      <c r="E22" s="49"/>
      <c r="F22" s="49"/>
      <c r="G22" s="49"/>
      <c r="H22" s="84"/>
      <c r="I22" s="84"/>
      <c r="J22" s="49"/>
      <c r="K22" s="49"/>
      <c r="L22" s="49"/>
      <c r="M22" s="49"/>
      <c r="N22" s="49"/>
      <c r="O22" s="49"/>
      <c r="P22" s="49"/>
      <c r="Q22" s="49"/>
    </row>
    <row r="23" spans="2:17" s="2" customFormat="1" ht="21.95" customHeight="1">
      <c r="B23" s="53" t="s">
        <v>114</v>
      </c>
      <c r="C23" s="54"/>
      <c r="D23" s="49"/>
      <c r="E23" s="49"/>
      <c r="F23" s="49"/>
      <c r="G23" s="49"/>
      <c r="H23" s="102" t="s">
        <v>346</v>
      </c>
      <c r="I23" s="102"/>
      <c r="J23" s="49"/>
      <c r="K23" s="49"/>
      <c r="L23" s="49"/>
      <c r="M23" s="49"/>
      <c r="N23" s="49"/>
      <c r="O23" s="49"/>
      <c r="P23" s="49"/>
      <c r="Q23" s="49"/>
    </row>
    <row r="24" spans="2:17" s="2" customFormat="1" ht="21.95" customHeight="1">
      <c r="B24" s="57" t="s">
        <v>262</v>
      </c>
      <c r="C24" s="58"/>
      <c r="D24" s="49"/>
      <c r="E24" s="49"/>
      <c r="F24" s="49"/>
      <c r="G24" s="49"/>
      <c r="H24" s="103" t="s">
        <v>347</v>
      </c>
      <c r="I24" s="103"/>
      <c r="J24" s="49"/>
      <c r="K24" s="49"/>
      <c r="L24" s="49"/>
      <c r="M24" s="49"/>
      <c r="N24" s="49"/>
      <c r="O24" s="49"/>
      <c r="P24" s="49"/>
      <c r="Q24" s="49"/>
    </row>
    <row r="25" spans="2:17" s="2" customFormat="1" ht="21.95" customHeight="1">
      <c r="B25" s="87" t="s">
        <v>115</v>
      </c>
      <c r="C25" s="88"/>
      <c r="D25" s="49"/>
      <c r="E25" s="84"/>
      <c r="F25" s="49"/>
      <c r="G25" s="49"/>
      <c r="H25" s="103" t="s">
        <v>348</v>
      </c>
      <c r="I25" s="103"/>
      <c r="J25" s="49"/>
      <c r="K25" s="49"/>
      <c r="L25" s="49"/>
      <c r="M25" s="49"/>
      <c r="N25" s="49"/>
      <c r="O25" s="49"/>
      <c r="P25" s="49"/>
      <c r="Q25" s="49"/>
    </row>
    <row r="26" spans="2:17" s="2" customFormat="1" ht="21.95" customHeight="1">
      <c r="B26" s="53" t="s">
        <v>306</v>
      </c>
      <c r="C26" s="89" t="e">
        <f>B32*C24</f>
        <v>#NUM!</v>
      </c>
      <c r="D26" s="49"/>
      <c r="E26" s="49"/>
      <c r="F26" s="49"/>
      <c r="G26" s="49"/>
      <c r="H26" s="103" t="s">
        <v>349</v>
      </c>
      <c r="I26" s="103"/>
      <c r="J26" s="49"/>
      <c r="K26" s="49"/>
      <c r="L26" s="49"/>
      <c r="M26" s="49"/>
      <c r="N26" s="49"/>
      <c r="O26" s="49"/>
      <c r="P26" s="49"/>
      <c r="Q26" s="49"/>
    </row>
    <row r="27" spans="2:17" s="2" customFormat="1" ht="21.95" customHeight="1">
      <c r="B27" s="57" t="s">
        <v>307</v>
      </c>
      <c r="C27" s="78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49"/>
      <c r="E27" s="49"/>
      <c r="F27" s="49"/>
      <c r="G27" s="49"/>
      <c r="H27" s="103" t="s">
        <v>350</v>
      </c>
      <c r="I27" s="103"/>
      <c r="J27" s="49"/>
      <c r="K27" s="49"/>
      <c r="L27" s="49"/>
      <c r="M27" s="49"/>
      <c r="N27" s="49"/>
      <c r="O27" s="49"/>
      <c r="P27" s="49"/>
      <c r="Q27" s="49"/>
    </row>
    <row r="28" spans="2:17" s="2" customFormat="1" ht="20.25" customHeight="1">
      <c r="B28" s="60" t="s">
        <v>308</v>
      </c>
      <c r="C28" s="79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</row>
    <row r="30" spans="2:17">
      <c r="B30" s="1" t="e">
        <f>LOG(C25/I17,10)</f>
        <v>#NUM!</v>
      </c>
    </row>
    <row r="31" spans="2:17">
      <c r="B31" s="1" t="e">
        <f>C23+50*B30</f>
        <v>#NUM!</v>
      </c>
    </row>
    <row r="32" spans="2:17">
      <c r="B32" s="1" t="e">
        <f>I17*10^((B31-I18)/50)</f>
        <v>#NUM!</v>
      </c>
    </row>
  </sheetData>
  <mergeCells count="14">
    <mergeCell ref="H23:I23"/>
    <mergeCell ref="H24:I24"/>
    <mergeCell ref="H25:I25"/>
    <mergeCell ref="H26:I26"/>
    <mergeCell ref="H27:I27"/>
    <mergeCell ref="B22:C22"/>
    <mergeCell ref="H5:I5"/>
    <mergeCell ref="K5:L5"/>
    <mergeCell ref="O7:P7"/>
    <mergeCell ref="N5:Q5"/>
    <mergeCell ref="B5:C5"/>
    <mergeCell ref="Q6:Q9"/>
    <mergeCell ref="O6:P6"/>
    <mergeCell ref="E5:F5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Korean</vt:lpstr>
      <vt:lpstr>English</vt:lpstr>
      <vt:lpstr>日本語</vt:lpstr>
      <vt:lpstr>简体中文</vt:lpstr>
      <vt:lpstr>繁體中文</vt:lpstr>
      <vt:lpstr>Русский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vwerkgl</cp:lastModifiedBy>
  <dcterms:modified xsi:type="dcterms:W3CDTF">2026-07-02T08:32:24Z</dcterms:modified>
</cp:coreProperties>
</file>