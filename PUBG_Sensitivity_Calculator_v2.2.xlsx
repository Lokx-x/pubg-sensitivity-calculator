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85" windowWidth="37455" windowHeight="17100" activeTab="5"/>
  </bookViews>
  <sheets>
    <sheet name="Korean" sheetId="1" r:id="rId1"/>
    <sheet name="English" sheetId="2" r:id="rId2"/>
    <sheet name="日本語" sheetId="3" r:id="rId3"/>
    <sheet name="简体中文" sheetId="4" r:id="rId4"/>
    <sheet name="繁體中文" sheetId="5" r:id="rId5"/>
    <sheet name="Русский" sheetId="6" r:id="rId6"/>
  </sheets>
  <calcPr calcId="124519"/>
</workbook>
</file>

<file path=xl/calcChain.xml><?xml version="1.0" encoding="utf-8"?>
<calcChain xmlns="http://schemas.openxmlformats.org/spreadsheetml/2006/main">
  <c r="E52" i="6"/>
  <c r="D52"/>
  <c r="D51"/>
  <c r="D50"/>
  <c r="C46"/>
  <c r="C43"/>
  <c r="C44" s="1"/>
  <c r="F52" s="1"/>
  <c r="C41"/>
  <c r="C45" s="1"/>
  <c r="F40"/>
  <c r="F39"/>
  <c r="B31"/>
  <c r="B32" s="1"/>
  <c r="C26" s="1"/>
  <c r="B30"/>
  <c r="I21"/>
  <c r="I20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I8"/>
  <c r="D52" i="5"/>
  <c r="D51"/>
  <c r="E50"/>
  <c r="F50" s="1"/>
  <c r="D50"/>
  <c r="C46"/>
  <c r="E51" s="1"/>
  <c r="F51" s="1"/>
  <c r="C45"/>
  <c r="C43"/>
  <c r="C44" s="1"/>
  <c r="F42" s="1"/>
  <c r="C41"/>
  <c r="F40"/>
  <c r="F39"/>
  <c r="B31"/>
  <c r="B32" s="1"/>
  <c r="C26" s="1"/>
  <c r="B30"/>
  <c r="I20"/>
  <c r="I21" s="1"/>
  <c r="I8" s="1"/>
  <c r="I19"/>
  <c r="P16"/>
  <c r="O16"/>
  <c r="P15"/>
  <c r="O15"/>
  <c r="P14"/>
  <c r="O14"/>
  <c r="P13"/>
  <c r="O13"/>
  <c r="P12"/>
  <c r="O12"/>
  <c r="P11"/>
  <c r="O11"/>
  <c r="C10"/>
  <c r="C11" s="1"/>
  <c r="P9"/>
  <c r="F9"/>
  <c r="F10" s="1"/>
  <c r="C9"/>
  <c r="P8"/>
  <c r="D52" i="4"/>
  <c r="E51"/>
  <c r="F51" s="1"/>
  <c r="D51"/>
  <c r="E50"/>
  <c r="F50" s="1"/>
  <c r="D50"/>
  <c r="C46"/>
  <c r="E52" s="1"/>
  <c r="F52" s="1"/>
  <c r="C45"/>
  <c r="C44"/>
  <c r="F42" s="1"/>
  <c r="C43"/>
  <c r="C41"/>
  <c r="F40"/>
  <c r="F39"/>
  <c r="B32"/>
  <c r="C26" s="1"/>
  <c r="B31"/>
  <c r="B30"/>
  <c r="I21"/>
  <c r="I8" s="1"/>
  <c r="I20"/>
  <c r="I19"/>
  <c r="P16"/>
  <c r="O16"/>
  <c r="P15"/>
  <c r="O15"/>
  <c r="P14"/>
  <c r="O14"/>
  <c r="P13"/>
  <c r="O13"/>
  <c r="P12"/>
  <c r="O12"/>
  <c r="P11"/>
  <c r="O11"/>
  <c r="C11"/>
  <c r="C12" s="1"/>
  <c r="F10"/>
  <c r="C10"/>
  <c r="P9"/>
  <c r="F9"/>
  <c r="C9"/>
  <c r="P8"/>
  <c r="D52" i="3"/>
  <c r="D51"/>
  <c r="E50"/>
  <c r="F50" s="1"/>
  <c r="D50"/>
  <c r="C46"/>
  <c r="E51" s="1"/>
  <c r="F51" s="1"/>
  <c r="C45"/>
  <c r="C43"/>
  <c r="C44" s="1"/>
  <c r="C41"/>
  <c r="F40"/>
  <c r="F39"/>
  <c r="B31"/>
  <c r="B32" s="1"/>
  <c r="C26" s="1"/>
  <c r="B30"/>
  <c r="I20"/>
  <c r="I21" s="1"/>
  <c r="I8" s="1"/>
  <c r="I19"/>
  <c r="P16"/>
  <c r="O16"/>
  <c r="P15"/>
  <c r="O15"/>
  <c r="P14"/>
  <c r="O14"/>
  <c r="P13"/>
  <c r="O13"/>
  <c r="C13"/>
  <c r="P12"/>
  <c r="O12"/>
  <c r="C12"/>
  <c r="P11"/>
  <c r="O11"/>
  <c r="C11"/>
  <c r="F10"/>
  <c r="C10"/>
  <c r="P9"/>
  <c r="F9"/>
  <c r="C9"/>
  <c r="P8"/>
  <c r="D52" i="2"/>
  <c r="E51"/>
  <c r="F51" s="1"/>
  <c r="D51"/>
  <c r="D50"/>
  <c r="C46"/>
  <c r="E52" s="1"/>
  <c r="F52" s="1"/>
  <c r="C45"/>
  <c r="C43"/>
  <c r="C44" s="1"/>
  <c r="C41"/>
  <c r="F40"/>
  <c r="F39"/>
  <c r="B32"/>
  <c r="C26" s="1"/>
  <c r="B31"/>
  <c r="B30"/>
  <c r="I20"/>
  <c r="I21" s="1"/>
  <c r="I8" s="1"/>
  <c r="I19"/>
  <c r="P16"/>
  <c r="O16"/>
  <c r="P15"/>
  <c r="O15"/>
  <c r="P14"/>
  <c r="O14"/>
  <c r="P13"/>
  <c r="O13"/>
  <c r="C13"/>
  <c r="P12"/>
  <c r="O12"/>
  <c r="C12"/>
  <c r="P11"/>
  <c r="O11"/>
  <c r="C11"/>
  <c r="F10"/>
  <c r="C10"/>
  <c r="P9"/>
  <c r="F9"/>
  <c r="C9"/>
  <c r="P8"/>
  <c r="E52" i="1"/>
  <c r="F52" s="1"/>
  <c r="D52"/>
  <c r="D51"/>
  <c r="D50"/>
  <c r="C46"/>
  <c r="E50" s="1"/>
  <c r="F50" s="1"/>
  <c r="C43"/>
  <c r="C44" s="1"/>
  <c r="C41"/>
  <c r="C45" s="1"/>
  <c r="F40"/>
  <c r="F39"/>
  <c r="B31"/>
  <c r="B32" s="1"/>
  <c r="C26" s="1"/>
  <c r="B30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C27" i="2" l="1"/>
  <c r="C28"/>
  <c r="F43" i="5"/>
  <c r="F41"/>
  <c r="F44" s="1"/>
  <c r="C27" i="6"/>
  <c r="C28"/>
  <c r="C12" i="1"/>
  <c r="C13"/>
  <c r="F41" i="4"/>
  <c r="F44" s="1"/>
  <c r="F43"/>
  <c r="C12" i="5"/>
  <c r="C13"/>
  <c r="C27" i="4"/>
  <c r="C28"/>
  <c r="C12" i="6"/>
  <c r="C13"/>
  <c r="F41" i="1"/>
  <c r="F44" s="1"/>
  <c r="C27"/>
  <c r="C28"/>
  <c r="C27" i="5"/>
  <c r="C28"/>
  <c r="C28" i="3"/>
  <c r="C27"/>
  <c r="F42" i="6"/>
  <c r="F42" i="1"/>
  <c r="F43" s="1"/>
  <c r="E51"/>
  <c r="F51" s="1"/>
  <c r="E50" i="2"/>
  <c r="F50" s="1"/>
  <c r="E52" i="5"/>
  <c r="F52" s="1"/>
  <c r="E51" i="6"/>
  <c r="F51" s="1"/>
  <c r="E50"/>
  <c r="F50" s="1"/>
  <c r="F42" i="3"/>
  <c r="E52"/>
  <c r="F52" s="1"/>
  <c r="F42" i="2"/>
  <c r="C13" i="4"/>
  <c r="F43" i="6" l="1"/>
  <c r="F41"/>
  <c r="F44" s="1"/>
  <c r="F41" i="2"/>
  <c r="F44" s="1"/>
  <c r="F43"/>
  <c r="F41" i="3"/>
  <c r="F44" s="1"/>
  <c r="F43"/>
</calcChain>
</file>

<file path=xl/sharedStrings.xml><?xml version="1.0" encoding="utf-8"?>
<sst xmlns="http://schemas.openxmlformats.org/spreadsheetml/2006/main" count="1044" uniqueCount="621">
  <si>
    <t>유저 입력란</t>
  </si>
  <si>
    <t>계산된 값</t>
  </si>
  <si>
    <t>수직감도 계산기</t>
  </si>
  <si>
    <t>DPI 변경</t>
  </si>
  <si>
    <t>PUBG-style eDPI 계산기</t>
  </si>
  <si>
    <t>해상도 비율</t>
  </si>
  <si>
    <t>해상도 변경</t>
  </si>
  <si>
    <t>기존 감도</t>
  </si>
  <si>
    <t>내 DPI</t>
  </si>
  <si>
    <t>해상도</t>
  </si>
  <si>
    <t>화면비</t>
  </si>
  <si>
    <t>기존 수직 감도</t>
  </si>
  <si>
    <t>기존 DPI</t>
  </si>
  <si>
    <t>내 감도</t>
  </si>
  <si>
    <t>1280x720</t>
  </si>
  <si>
    <t>16:9</t>
  </si>
  <si>
    <t>변경할 감도</t>
  </si>
  <si>
    <t>변경할 DPI</t>
  </si>
  <si>
    <t>eDPI</t>
  </si>
  <si>
    <t>1366x768</t>
  </si>
  <si>
    <t>기존 해상도</t>
  </si>
  <si>
    <t>1728x1080</t>
  </si>
  <si>
    <t>감도 차이</t>
  </si>
  <si>
    <t>DPI 차이</t>
  </si>
  <si>
    <t>1600x900</t>
  </si>
  <si>
    <t>변경할 해상도</t>
  </si>
  <si>
    <t>1920x1080</t>
  </si>
  <si>
    <t>감도 비율 계산</t>
  </si>
  <si>
    <t>감도</t>
  </si>
  <si>
    <t>수직감도</t>
  </si>
  <si>
    <t>비고</t>
  </si>
  <si>
    <t>변경할 감도의 수직 감도 값</t>
  </si>
  <si>
    <t>2560x1080</t>
  </si>
  <si>
    <t>21:9</t>
  </si>
  <si>
    <t>16:9 -&gt; 16:10 (전체화면 스케일링)</t>
  </si>
  <si>
    <t>기존 수직감도*1.11</t>
  </si>
  <si>
    <t>반올림</t>
  </si>
  <si>
    <t>2560x1440</t>
  </si>
  <si>
    <t>16:10 -&gt; 16:9 (스케일링 복구)</t>
  </si>
  <si>
    <t>기존 수직감도/1.11</t>
  </si>
  <si>
    <t>버림</t>
  </si>
  <si>
    <t>3440x1440</t>
  </si>
  <si>
    <t>16:9 -&gt; 21:9 (모니터 변경)</t>
  </si>
  <si>
    <t>기존 수직감도*0.85</t>
  </si>
  <si>
    <t>3840x2160</t>
  </si>
  <si>
    <t>21:9 -&gt; 16:9 (모니터 변경)</t>
  </si>
  <si>
    <t>기존 수직감도/0.85</t>
  </si>
  <si>
    <t>16:10</t>
  </si>
  <si>
    <t>16:9 -&gt; 4:3 (전체화면 스케일링)</t>
  </si>
  <si>
    <t>기존감도+3 기존 수직감도*1.166</t>
  </si>
  <si>
    <t>1920x1200</t>
  </si>
  <si>
    <t>4:3 -&gt; 16:9 (스케일링 복구)</t>
  </si>
  <si>
    <t>기존 감도-3 기존 수직감도/1.166</t>
  </si>
  <si>
    <t>기준 DPI</t>
  </si>
  <si>
    <t>2560x1600</t>
  </si>
  <si>
    <t>기준 감도</t>
  </si>
  <si>
    <t>2304x1440</t>
  </si>
  <si>
    <t>PUBG 감도 계산기</t>
  </si>
  <si>
    <t>기준 PUBG-style eDPI</t>
  </si>
  <si>
    <t>1440x1080</t>
  </si>
  <si>
    <t>4:3</t>
  </si>
  <si>
    <t>Created by Lokx_x</t>
  </si>
  <si>
    <t>1920x1440</t>
  </si>
  <si>
    <t>Localization &amp; Translation: ChatGPT (OpenAI)</t>
  </si>
  <si>
    <t>기준 DPI로 계산 된 나의 감도</t>
  </si>
  <si>
    <t>배율감도 계산기</t>
  </si>
  <si>
    <t>스코프모드 감도</t>
  </si>
  <si>
    <t>eDPI 공식 참고</t>
  </si>
  <si>
    <t>수직 감도</t>
  </si>
  <si>
    <t>PUBG config의 LastConvertedSensitivity 기준</t>
  </si>
  <si>
    <t>dpi</t>
  </si>
  <si>
    <t>ConvertedSensitivity ≈ 0.002 × 10^(감도 / 50)</t>
  </si>
  <si>
    <t>수직감도를 포함한 edpi</t>
  </si>
  <si>
    <t>감도 +15 → 10^(15/50) ≈ 1.995배</t>
  </si>
  <si>
    <t>2배율 감도</t>
  </si>
  <si>
    <t>즉, 체감 속도 약 2배로 계산</t>
  </si>
  <si>
    <t>3배율 감도</t>
  </si>
  <si>
    <t>360° Distance / 타 FPS 감도 변환</t>
  </si>
  <si>
    <t>PUBG 입력</t>
  </si>
  <si>
    <t>변환 대상</t>
  </si>
  <si>
    <t>계산식 / 공식 참고</t>
  </si>
  <si>
    <t>DPI</t>
  </si>
  <si>
    <t>게임</t>
  </si>
  <si>
    <t>CS2</t>
  </si>
  <si>
    <t>항목</t>
  </si>
  <si>
    <t>계산식</t>
  </si>
  <si>
    <t>설명</t>
  </si>
  <si>
    <t>대상 DPI</t>
  </si>
  <si>
    <t>PUBG 내부 변환</t>
  </si>
  <si>
    <t>LastConvertedSensitivity ≈ 0.002 × 10^(감도 / 50)</t>
  </si>
  <si>
    <t>config 파일의 LastConvertedSensitivity 기준</t>
  </si>
  <si>
    <t>PUBG 상태</t>
  </si>
  <si>
    <t>1인칭 일반</t>
  </si>
  <si>
    <t>대상 yaw</t>
  </si>
  <si>
    <t>PUBG yaw 추정</t>
  </si>
  <si>
    <t>Yaw ≈ 0.005 × 10^(감도 / 50)</t>
  </si>
  <si>
    <t>16:9 / FOV 90 / 실측 검증 기준</t>
  </si>
  <si>
    <t>FPP FOV 선택</t>
  </si>
  <si>
    <t>대상 FOV</t>
  </si>
  <si>
    <t>화면비 보정</t>
  </si>
  <si>
    <t>16:9=×1, 16:10=×1, 21:9=×0.85, 4:3=×1.16</t>
  </si>
  <si>
    <t>실측 기반 화면비 보정. 16:10은 16:9와 동일 취급</t>
  </si>
  <si>
    <t>적용 FOV</t>
  </si>
  <si>
    <t>변환 감도</t>
  </si>
  <si>
    <t>FOV 보정</t>
  </si>
  <si>
    <t>FPP/TPP: (tan(90°/2) ÷ tan(FOV/2))^0.8, ADS: ×1.25</t>
  </si>
  <si>
    <t>FOV tan 보정을 그대로 쓰지 않고, FPP/TPP는 0.8승, ADS는 0.8 yaw 계수 기반</t>
  </si>
  <si>
    <t>360° Distance</t>
  </si>
  <si>
    <t>cm/360</t>
  </si>
  <si>
    <t>360 × 2.54 ÷ (DPI × yaw) × 화면비 보정 × 상태/FOV 보정</t>
  </si>
  <si>
    <t>선택된 화면비와 상태/FOV 보정을 반영한 거리</t>
  </si>
  <si>
    <t>차이</t>
  </si>
  <si>
    <t>타 게임 감도</t>
  </si>
  <si>
    <t>360 × 2.54 ÷ (대상 DPI × 대상 yaw × PUBG cm/360)</t>
  </si>
  <si>
    <t>동일 360° Distance가 되도록 변환</t>
  </si>
  <si>
    <t>결과</t>
  </si>
  <si>
    <t>주의</t>
  </si>
  <si>
    <t>공식 PUBG 문서값 아님</t>
  </si>
  <si>
    <t>PUBG 문의 답변상 내부 yaw 값은 공개 불가. 현 기능은 config/실측/역산 기반 참고값</t>
  </si>
  <si>
    <t>동일 360° Distance 기준</t>
  </si>
  <si>
    <t>검증 기준</t>
  </si>
  <si>
    <t>16:9 / FPP FOV 90 / General Sensitivity</t>
  </si>
  <si>
    <t>해상도/화면비/FOV 변경은 실측 기반 보정값으로 거리 계산에 반영</t>
  </si>
  <si>
    <t>PUBG yaw (deg/count)</t>
  </si>
  <si>
    <t>PUBG 상태별 FOV / yaw / Distance</t>
  </si>
  <si>
    <t>게임별 FOV / yaw 기준값</t>
  </si>
  <si>
    <t>상태</t>
  </si>
  <si>
    <t>yaw (deg/count)</t>
  </si>
  <si>
    <t>yaw</t>
  </si>
  <si>
    <t>FOV</t>
  </si>
  <si>
    <t>3인칭 일반</t>
  </si>
  <si>
    <t>TPP FOV 80, tan^0.8 실측 보정</t>
  </si>
  <si>
    <t>90 (4:3 base)</t>
  </si>
  <si>
    <t>Source 2 / Hipfire 기준</t>
  </si>
  <si>
    <t>FOV 80~103 선택 가능, tan^0.8 보정</t>
  </si>
  <si>
    <t>Valorant</t>
  </si>
  <si>
    <t>고정 FOV 기준</t>
  </si>
  <si>
    <t>ADS</t>
  </si>
  <si>
    <t>ADS FOV 70, yaw ×0.8 기반 보정</t>
  </si>
  <si>
    <t>Overwatch</t>
  </si>
  <si>
    <t>기본 FOV 기준</t>
  </si>
  <si>
    <t>User Input</t>
  </si>
  <si>
    <t>Calculated Value</t>
  </si>
  <si>
    <t>Vertical Multiplier Calculator</t>
  </si>
  <si>
    <t>DPI Converter</t>
  </si>
  <si>
    <t>PUBG-style eDPI Calculator</t>
  </si>
  <si>
    <t>Resolution / Aspect Ratio</t>
  </si>
  <si>
    <t>Resolution Converter</t>
  </si>
  <si>
    <t>Current Sensitivity</t>
  </si>
  <si>
    <t>Your DPI</t>
  </si>
  <si>
    <t>Resolution</t>
  </si>
  <si>
    <t>Aspect Ratio</t>
  </si>
  <si>
    <t>Current Vertical Multiplier</t>
  </si>
  <si>
    <t>Current DPI</t>
  </si>
  <si>
    <t>Your Sensitivity</t>
  </si>
  <si>
    <t>Target Sensitivity</t>
  </si>
  <si>
    <t>Target DPI</t>
  </si>
  <si>
    <t>Sensitivity Difference</t>
  </si>
  <si>
    <t>DPI Difference</t>
  </si>
  <si>
    <t>Sensitivity Ratio</t>
  </si>
  <si>
    <t>Sensitivity</t>
  </si>
  <si>
    <t>Note</t>
  </si>
  <si>
    <t>Target Vertical Multiplier</t>
  </si>
  <si>
    <t>16:9 → 16:10 (Fullscreen Scaling)</t>
  </si>
  <si>
    <t>Current Vertical ×1.11</t>
  </si>
  <si>
    <t>Rounded</t>
  </si>
  <si>
    <t>16:10 → 16:9 (Scale Back)</t>
  </si>
  <si>
    <t>Current Vertical ÷1.11</t>
  </si>
  <si>
    <t>Rounded Down</t>
  </si>
  <si>
    <t>16:9 → 21:9 (Monitor Change)</t>
  </si>
  <si>
    <t>Current Vertical ×0.85</t>
  </si>
  <si>
    <t>21:9 → 16:9 (Monitor Change)</t>
  </si>
  <si>
    <t>Current Vertical ÷0.85</t>
  </si>
  <si>
    <t>16:9 → 4:3 (Fullscreen Scaling)</t>
  </si>
  <si>
    <t>4:3 → 16:9 (Scale Back)</t>
  </si>
  <si>
    <t>Reference DPI</t>
  </si>
  <si>
    <t>Reference Sensitivity</t>
  </si>
  <si>
    <t>PUBG Sensitivity Calculator</t>
  </si>
  <si>
    <t>Reference PUBG-style eDPI</t>
  </si>
  <si>
    <t>Your Sensitivity at Reference DPI</t>
  </si>
  <si>
    <t>Scope Sensitivity Calculator</t>
  </si>
  <si>
    <t>Scope Mode Sensitivity</t>
  </si>
  <si>
    <t>eDPI Formula Reference</t>
  </si>
  <si>
    <t>Vertical Multiplier</t>
  </si>
  <si>
    <t>Based on PUBG config LastConvertedSensitivity</t>
  </si>
  <si>
    <t>ConvertedSensitivity ≈ 0.002 × 10^(Sensitivity / 50)</t>
  </si>
  <si>
    <t>Effective eDPI (Vertical Included)</t>
  </si>
  <si>
    <t>Sensitivity +15 → 10^(15/50) ≈ 1.995×</t>
  </si>
  <si>
    <t>2x Scope Sensitivity</t>
  </si>
  <si>
    <t>Equivalent to roughly 2x perceived speed</t>
  </si>
  <si>
    <t>3x Scope Sensitivity</t>
  </si>
  <si>
    <t>360° Distance / Other FPS Sensitivity Conversion</t>
  </si>
  <si>
    <t>PUBG Input</t>
  </si>
  <si>
    <t>Target Game</t>
  </si>
  <si>
    <t>Formula / Reference</t>
  </si>
  <si>
    <t>Game</t>
  </si>
  <si>
    <t>Item</t>
  </si>
  <si>
    <t>Formula</t>
  </si>
  <si>
    <t>Description</t>
  </si>
  <si>
    <t>PUBG Internal Conversion</t>
  </si>
  <si>
    <t>LastConvertedSensitivity ≈ 0.002 × 10^(Sensitivity / 50)</t>
  </si>
  <si>
    <t>Based on config file LastConvertedSensitivity</t>
  </si>
  <si>
    <t>PUBG State</t>
  </si>
  <si>
    <t>TPP General</t>
  </si>
  <si>
    <t>Target yaw</t>
  </si>
  <si>
    <t>PUBG yaw Estimate</t>
  </si>
  <si>
    <t>Yaw ≈ 0.005 × 10^(Sensitivity / 50)</t>
  </si>
  <si>
    <t>16:9 / FOV 90 / manual measurement basis</t>
  </si>
  <si>
    <t>FPP FOV Selection</t>
  </si>
  <si>
    <t>Target FOV</t>
  </si>
  <si>
    <t>Aspect Ratio Multiplier</t>
  </si>
  <si>
    <t>Manual-test based aspect correction. 16:10 is treated the same as 16:9.</t>
  </si>
  <si>
    <t>Applied FOV</t>
  </si>
  <si>
    <t>Converted Sensitivity</t>
  </si>
  <si>
    <t>FOV Multiplier</t>
  </si>
  <si>
    <t>Does not apply raw tan FOV directly. FPP/TPP use ^0.8; ADS uses a 0.8 yaw-factor basis.</t>
  </si>
  <si>
    <t>360 × 2.54 ÷ (DPI × yaw) × aspect ratio multiplier × state/FOV multiplier</t>
  </si>
  <si>
    <t>Distance including selected aspect ratio and state/FOV correction</t>
  </si>
  <si>
    <t>Difference</t>
  </si>
  <si>
    <t>Other Game Sensitivity</t>
  </si>
  <si>
    <t>360 × 2.54 ÷ (Target DPI × Target yaw × PUBG cm/360)</t>
  </si>
  <si>
    <t>Converted to match the same 360° Distance</t>
  </si>
  <si>
    <t>Result</t>
  </si>
  <si>
    <t>Warning</t>
  </si>
  <si>
    <t>Not an official PUBG reference value</t>
  </si>
  <si>
    <t>PUBG support does not disclose internal yaw values. This feature is a config/manual-measurement/reverse-calculation based reference.</t>
  </si>
  <si>
    <t>Same 360° Distance basis</t>
  </si>
  <si>
    <t>Validation Basis</t>
  </si>
  <si>
    <t>Resolution/aspect ratio/FOV changes use manual-test based correction values</t>
  </si>
  <si>
    <t>PUBG State FOV / yaw / Distance</t>
  </si>
  <si>
    <t>Game FOV / yaw Reference Values</t>
  </si>
  <si>
    <t>State</t>
  </si>
  <si>
    <t>TPP FOV 80, tan^0.8 manual-test correction</t>
  </si>
  <si>
    <t>Source 2 / hipfire basis</t>
  </si>
  <si>
    <t>FPP General</t>
  </si>
  <si>
    <t>FOV 80–103 selectable, tan^0.8 correction</t>
  </si>
  <si>
    <t>Fixed FOV basis</t>
  </si>
  <si>
    <t>ADS FOV 70, based on yaw ×0.8 correction</t>
  </si>
  <si>
    <t>Default FOV basis</t>
  </si>
  <si>
    <t>ユーザー入力</t>
  </si>
  <si>
    <t>計算結果</t>
  </si>
  <si>
    <t>垂直倍率計算ツール</t>
  </si>
  <si>
    <t>DPI 変換</t>
  </si>
  <si>
    <t>PUBG式 eDPI 計算ツール</t>
  </si>
  <si>
    <t>解像度 / アスペクト比</t>
  </si>
  <si>
    <t>解像度変換</t>
  </si>
  <si>
    <t>現在の感度</t>
  </si>
  <si>
    <t>使用 DPI</t>
  </si>
  <si>
    <t>解像度</t>
  </si>
  <si>
    <t>アスペクト比</t>
  </si>
  <si>
    <t>現在の垂直倍率</t>
  </si>
  <si>
    <t>現在の DPI</t>
  </si>
  <si>
    <t>使用感度</t>
  </si>
  <si>
    <t>目標感度</t>
  </si>
  <si>
    <t>目標 DPI</t>
  </si>
  <si>
    <t>感度差</t>
  </si>
  <si>
    <t>DPI 差</t>
  </si>
  <si>
    <t>感度比</t>
  </si>
  <si>
    <t>感度</t>
  </si>
  <si>
    <t>メモ</t>
  </si>
  <si>
    <t>目標垂直倍率</t>
  </si>
  <si>
    <t>16:9 → 16:10（フルスクリーンスケーリング）</t>
  </si>
  <si>
    <t>現在の垂直倍率 ×1.11</t>
  </si>
  <si>
    <t>四捨五入</t>
  </si>
  <si>
    <t>16:10 → 16:9（スケーリング復元）</t>
  </si>
  <si>
    <t>現在の垂直倍率 ÷1.11</t>
  </si>
  <si>
    <t>切り捨て</t>
  </si>
  <si>
    <t>16:9 → 21:9（モニター変更）</t>
  </si>
  <si>
    <t>現在の垂直倍率 ×0.85</t>
  </si>
  <si>
    <t>21:9 → 16:9（モニター変更）</t>
  </si>
  <si>
    <t>現在の垂直倍率 ÷0.85</t>
  </si>
  <si>
    <t>16:9 → 4:3（フルスクリーンスケーリング）</t>
  </si>
  <si>
    <t>4:3 → 16:9（スケーリング復元）</t>
  </si>
  <si>
    <t>基準 DPI</t>
  </si>
  <si>
    <t>基準感度</t>
  </si>
  <si>
    <t>PUBG 感度計算ツール</t>
  </si>
  <si>
    <t>基準 PUBG式 eDPI</t>
  </si>
  <si>
    <t>基準 DPI での感度</t>
  </si>
  <si>
    <t>スコープ感度計算ツール</t>
  </si>
  <si>
    <t>スコープモード感度</t>
  </si>
  <si>
    <t>eDPI 公式メモ</t>
  </si>
  <si>
    <t>垂直倍率</t>
  </si>
  <si>
    <t>PUBG config の LastConvertedSensitivity 基準</t>
  </si>
  <si>
    <t>有効 eDPI（垂直倍率込み）</t>
  </si>
  <si>
    <t>感度 +15 → 10^(15/50) ≈ 1.995倍</t>
  </si>
  <si>
    <t>2x スコープ感度</t>
  </si>
  <si>
    <t>体感速度は約2倍として計算</t>
  </si>
  <si>
    <t>3x スコープ感度</t>
  </si>
  <si>
    <t>360° Distance / 他FPS感度変換</t>
  </si>
  <si>
    <t>PUBG 入力</t>
  </si>
  <si>
    <t>変換先</t>
  </si>
  <si>
    <t>計算式 / 参考</t>
  </si>
  <si>
    <t>ゲーム</t>
  </si>
  <si>
    <t>項目</t>
  </si>
  <si>
    <t>計算式</t>
  </si>
  <si>
    <t>説明</t>
  </si>
  <si>
    <t>変換先 DPI</t>
  </si>
  <si>
    <t>PUBG 内部変換</t>
  </si>
  <si>
    <t>config ファイルの LastConvertedSensitivity 基準</t>
  </si>
  <si>
    <t>PUBG 状態</t>
  </si>
  <si>
    <t>TPP 一般</t>
  </si>
  <si>
    <t>変換先 yaw</t>
  </si>
  <si>
    <t>PUBG yaw 推定</t>
  </si>
  <si>
    <t>16:9 / FOV 90 / 実測検証基準</t>
  </si>
  <si>
    <t>FPP FOV 選択</t>
  </si>
  <si>
    <t>変換先 FOV</t>
  </si>
  <si>
    <t>アスペクト比補正</t>
  </si>
  <si>
    <t>実測ベースのアスペクト比補正。16:10は16:9と同じ扱いです。</t>
  </si>
  <si>
    <t>適用 FOV</t>
  </si>
  <si>
    <t>変換感度</t>
  </si>
  <si>
    <t>FOV 補正</t>
  </si>
  <si>
    <t>FOVのtan補正をそのまま使わず、FPP/TPPは0.8乗、ADSはyaw×0.8基準を使用します。</t>
  </si>
  <si>
    <t>360 × 2.54 ÷ (DPI × yaw) × アスペクト比補正 × 状態/FOV補正</t>
  </si>
  <si>
    <t>選択したアスペクト比と状態/FOV補正を反映した距離</t>
  </si>
  <si>
    <t>差</t>
  </si>
  <si>
    <t>他ゲーム感度</t>
  </si>
  <si>
    <t>360 × 2.54 ÷ (変換先 DPI × 変換先 yaw × PUBG cm/360)</t>
  </si>
  <si>
    <t>同じ 360° Distance になるよう変換</t>
  </si>
  <si>
    <t>結果</t>
  </si>
  <si>
    <t>注意</t>
  </si>
  <si>
    <t>公式 PUBG 参照値ではありません</t>
  </si>
  <si>
    <t>PUBG サポートでは内部 yaw 値は非公開です。この機能は config・実測・逆算ベースの参考値です。</t>
  </si>
  <si>
    <t>同じ 360° Distance 基準</t>
  </si>
  <si>
    <t>検証基準</t>
  </si>
  <si>
    <t>16:9 / FPP FOV 90 / 一般感度</t>
  </si>
  <si>
    <t>解像度/アスペクト比/FOV変更は実測ベースの補正値で距離計算に反映します。</t>
  </si>
  <si>
    <t>PUBG 状態別 FOV / yaw / Distance</t>
  </si>
  <si>
    <t>ゲーム別 FOV / yaw 参考値</t>
  </si>
  <si>
    <t>状態</t>
  </si>
  <si>
    <t>TPP FOV 80、tan^0.8 実測補正</t>
  </si>
  <si>
    <t>Source 2 / Hipfire 基準</t>
  </si>
  <si>
    <t>FPP 一般</t>
  </si>
  <si>
    <t>FOV 80–103 選択可、tan^0.8 補正</t>
  </si>
  <si>
    <t>固定 FOV 基準</t>
  </si>
  <si>
    <t>ADS FOV 70、yaw×0.8 基準補正</t>
  </si>
  <si>
    <t>基本 FOV 基準</t>
  </si>
  <si>
    <t>用户输入</t>
  </si>
  <si>
    <t>计算结果</t>
  </si>
  <si>
    <t>垂直倍率计算器</t>
  </si>
  <si>
    <t>DPI 转换</t>
  </si>
  <si>
    <t>PUBG 风格 eDPI 计算器</t>
  </si>
  <si>
    <t>分辨率 / 宽高比</t>
  </si>
  <si>
    <t>分辨率转换</t>
  </si>
  <si>
    <t>当前灵敏度</t>
  </si>
  <si>
    <t>你的 DPI</t>
  </si>
  <si>
    <t>分辨率</t>
  </si>
  <si>
    <t>宽高比</t>
  </si>
  <si>
    <t>当前垂直倍率</t>
  </si>
  <si>
    <t>当前 DPI</t>
  </si>
  <si>
    <t>你的灵敏度</t>
  </si>
  <si>
    <t>目标灵敏度</t>
  </si>
  <si>
    <t>目标 DPI</t>
  </si>
  <si>
    <t>灵敏度差值</t>
  </si>
  <si>
    <t>DPI 差值</t>
  </si>
  <si>
    <t>灵敏度比例</t>
  </si>
  <si>
    <t>灵敏度</t>
  </si>
  <si>
    <t>备注</t>
  </si>
  <si>
    <t>目标垂直倍率</t>
  </si>
  <si>
    <t>16:9 → 16:10（全屏缩放）</t>
  </si>
  <si>
    <t>当前垂直倍率 ×1.11</t>
  </si>
  <si>
    <t>四舍五入</t>
  </si>
  <si>
    <t>16:10 → 16:9（缩放恢复）</t>
  </si>
  <si>
    <t>当前垂直倍率 ÷1.11</t>
  </si>
  <si>
    <t>向下取整</t>
  </si>
  <si>
    <t>16:9 → 21:9（更换显示器）</t>
  </si>
  <si>
    <t>当前垂直倍率 ×0.85</t>
  </si>
  <si>
    <t>21:9 → 16:9（更换显示器）</t>
  </si>
  <si>
    <t>当前垂直倍率 ÷0.85</t>
  </si>
  <si>
    <t>16:9 → 4:3（全屏缩放）</t>
  </si>
  <si>
    <t>4:3 → 16:9（缩放恢复）</t>
  </si>
  <si>
    <t>参考 DPI</t>
  </si>
  <si>
    <t>参考灵敏度</t>
  </si>
  <si>
    <t>PUBG 灵敏度计算器</t>
  </si>
  <si>
    <t>参考 PUBG 风格 eDPI</t>
  </si>
  <si>
    <t>参考 DPI 下的灵敏度</t>
  </si>
  <si>
    <t>倍镜灵敏度计算器</t>
  </si>
  <si>
    <t>开镜模式灵敏度</t>
  </si>
  <si>
    <t>eDPI 公式参考</t>
  </si>
  <si>
    <t>基于 PUBG config 的 LastConvertedSensitivity</t>
  </si>
  <si>
    <t>有效 eDPI（含垂直倍率）</t>
  </si>
  <si>
    <t>灵敏度 +15 → 10^(15/50) ≈ 1.995倍</t>
  </si>
  <si>
    <t>2倍镜灵敏度</t>
  </si>
  <si>
    <t>约等于体感速度 2 倍</t>
  </si>
  <si>
    <t>3倍镜灵敏度</t>
  </si>
  <si>
    <t>360° Distance / 其他 FPS 灵敏度转换</t>
  </si>
  <si>
    <t>PUBG 输入</t>
  </si>
  <si>
    <t>转换目标</t>
  </si>
  <si>
    <t>公式 / 参考</t>
  </si>
  <si>
    <t>游戏</t>
  </si>
  <si>
    <t>项目</t>
  </si>
  <si>
    <t>公式</t>
  </si>
  <si>
    <t>说明</t>
  </si>
  <si>
    <t>PUBG 内部转换</t>
  </si>
  <si>
    <t>基于 config 文件中的 LastConvertedSensitivity</t>
  </si>
  <si>
    <t>PUBG 状态</t>
  </si>
  <si>
    <t>TPP 普通</t>
  </si>
  <si>
    <t>目标 yaw</t>
  </si>
  <si>
    <t>PUBG yaw 估算</t>
  </si>
  <si>
    <t>16:9 / FOV 90 / 手动测量验证依据</t>
  </si>
  <si>
    <t>FPP FOV 选择</t>
  </si>
  <si>
    <t>目标 FOV</t>
  </si>
  <si>
    <t>宽高比修正</t>
  </si>
  <si>
    <t>基于实测的宽高比修正。16:10 按与 16:9 相同处理。</t>
  </si>
  <si>
    <t>应用 FOV</t>
  </si>
  <si>
    <t>转换灵敏度</t>
  </si>
  <si>
    <t>FOV 修正</t>
  </si>
  <si>
    <t>不直接套用原始 tan FOV 修正；FPP/TPP 使用 0.8 次方，ADS 使用 yaw×0.8 基准。</t>
  </si>
  <si>
    <t>360 × 2.54 ÷ (DPI × yaw) × 宽高比修正 × 状态/FOV修正</t>
  </si>
  <si>
    <t>包含所选宽高比与状态/FOV修正的距离</t>
  </si>
  <si>
    <t>差异</t>
  </si>
  <si>
    <t>其他游戏灵敏度</t>
  </si>
  <si>
    <t>360 × 2.54 ÷ (目标 DPI × 目标 yaw × PUBG cm/360)</t>
  </si>
  <si>
    <t>转换为相同的 360° Distance</t>
  </si>
  <si>
    <t>结果</t>
  </si>
  <si>
    <t>不是 PUBG 官方参考值</t>
  </si>
  <si>
    <t>PUBG 支持表示内部 yaw 值无法公开。此功能为基于 config、实测和反推的参考值。</t>
  </si>
  <si>
    <t>相同 360° Distance 基准</t>
  </si>
  <si>
    <t>验证依据</t>
  </si>
  <si>
    <t>16:9 / FPP FOV 90 / 普通灵敏度</t>
  </si>
  <si>
    <t>分辨率/宽高比/FOV变化使用实测修正值计入距离计算</t>
  </si>
  <si>
    <t>PUBG 状态 FOV / yaw / Distance</t>
  </si>
  <si>
    <t>各游戏 FOV / yaw 参考值</t>
  </si>
  <si>
    <t>状态</t>
  </si>
  <si>
    <t>TPP FOV 80，tan^0.8 实测修正</t>
  </si>
  <si>
    <t>Source 2 / 腰射基准</t>
  </si>
  <si>
    <t>FPP 普通</t>
  </si>
  <si>
    <t>FOV 80–103 可选，tan^0.8 修正</t>
  </si>
  <si>
    <t>固定 FOV 基准</t>
  </si>
  <si>
    <t>ADS FOV 70，基于 yaw×0.8 修正</t>
  </si>
  <si>
    <t>默认 FOV 基准</t>
  </si>
  <si>
    <t>使用者輸入</t>
  </si>
  <si>
    <t>垂直倍率計算器</t>
  </si>
  <si>
    <t>DPI 轉換</t>
  </si>
  <si>
    <t>PUBG 風格 eDPI 計算器</t>
  </si>
  <si>
    <t>解析度 / 長寬比</t>
  </si>
  <si>
    <t>解析度轉換</t>
  </si>
  <si>
    <t>目前靈敏度</t>
  </si>
  <si>
    <t>解析度</t>
  </si>
  <si>
    <t>長寬比</t>
  </si>
  <si>
    <t>目前垂直倍率</t>
  </si>
  <si>
    <t>目前 DPI</t>
  </si>
  <si>
    <t>你的靈敏度</t>
  </si>
  <si>
    <t>目標靈敏度</t>
  </si>
  <si>
    <t>靈敏度差值</t>
  </si>
  <si>
    <t>靈敏度比例</t>
  </si>
  <si>
    <t>靈敏度</t>
  </si>
  <si>
    <t>備註</t>
  </si>
  <si>
    <t>16:9 → 16:10（全螢幕縮放）</t>
  </si>
  <si>
    <t>目前垂直倍率 ×1.11</t>
  </si>
  <si>
    <t>16:10 → 16:9（縮放還原）</t>
  </si>
  <si>
    <t>目前垂直倍率 ÷1.11</t>
  </si>
  <si>
    <t>無條件捨去</t>
  </si>
  <si>
    <t>16:9 → 21:9（更換螢幕）</t>
  </si>
  <si>
    <t>目前垂直倍率 ×0.85</t>
  </si>
  <si>
    <t>21:9 → 16:9（更換螢幕）</t>
  </si>
  <si>
    <t>目前垂直倍率 ÷0.85</t>
  </si>
  <si>
    <t>16:9 → 4:3（全螢幕縮放）</t>
  </si>
  <si>
    <t>4:3 → 16:9（縮放還原）</t>
  </si>
  <si>
    <t>參考 DPI</t>
  </si>
  <si>
    <t>參考靈敏度</t>
  </si>
  <si>
    <t>PUBG 靈敏度計算器</t>
  </si>
  <si>
    <t>參考 PUBG 風格 eDPI</t>
  </si>
  <si>
    <t>參考 DPI 下的靈敏度</t>
  </si>
  <si>
    <t>倍鏡靈敏度計算器</t>
  </si>
  <si>
    <t>開鏡模式靈敏度</t>
  </si>
  <si>
    <t>eDPI 公式參考</t>
  </si>
  <si>
    <t>基於 PUBG config 的 LastConvertedSensitivity</t>
  </si>
  <si>
    <t>靈敏度 +15 → 10^(15/50) ≈ 1.995倍</t>
  </si>
  <si>
    <t>2倍鏡靈敏度</t>
  </si>
  <si>
    <t>約等於體感速度 2 倍</t>
  </si>
  <si>
    <t>3倍鏡靈敏度</t>
  </si>
  <si>
    <t>360° Distance / 其他 FPS 靈敏度轉換</t>
  </si>
  <si>
    <t>PUBG 輸入</t>
  </si>
  <si>
    <t>轉換目標</t>
  </si>
  <si>
    <t>公式 / 參考</t>
  </si>
  <si>
    <t>遊戲</t>
  </si>
  <si>
    <t>說明</t>
  </si>
  <si>
    <t>PUBG 內部轉換</t>
  </si>
  <si>
    <t>基於 config 檔案中的 LastConvertedSensitivity</t>
  </si>
  <si>
    <t>PUBG 狀態</t>
  </si>
  <si>
    <t>目標 yaw</t>
  </si>
  <si>
    <t>16:9 / FOV 90 / 手動測量驗證依據</t>
  </si>
  <si>
    <t>FPP FOV 選擇</t>
  </si>
  <si>
    <t>目標 FOV</t>
  </si>
  <si>
    <t>長寬比修正</t>
  </si>
  <si>
    <t>基於實測的螢幕比例修正。16:10 以與 16:9 相同處理。</t>
  </si>
  <si>
    <t>套用 FOV</t>
  </si>
  <si>
    <t>轉換靈敏度</t>
  </si>
  <si>
    <t>不直接套用原始 tan FOV 修正；FPP/TPP 使用 0.8 次方，ADS 使用 yaw×0.8 基準。</t>
  </si>
  <si>
    <t>360 × 2.54 ÷ (DPI × yaw) × 螢幕比例修正 × 狀態/FOV修正</t>
  </si>
  <si>
    <t>包含所選螢幕比例與狀態/FOV修正的距離</t>
  </si>
  <si>
    <t>差異</t>
  </si>
  <si>
    <t>其他遊戲靈敏度</t>
  </si>
  <si>
    <t>360 × 2.54 ÷ (目標 DPI × 目標 yaw × PUBG cm/360)</t>
  </si>
  <si>
    <t>轉換為相同 360° Distance</t>
  </si>
  <si>
    <t>不是 PUBG 官方參考值</t>
  </si>
  <si>
    <t>PUBG 支援表示內部 yaw 值無法公開。此功能為基於 config、實測與反推的參考值。</t>
  </si>
  <si>
    <t>相同 360° Distance 基準</t>
  </si>
  <si>
    <t>驗證依據</t>
  </si>
  <si>
    <t>16:9 / FPP FOV 90 / 一般靈敏度</t>
  </si>
  <si>
    <t>解析度/螢幕比例/FOV變更會以實測修正值反映在距離計算中</t>
  </si>
  <si>
    <t>PUBG 狀態 FOV / yaw / Distance</t>
  </si>
  <si>
    <t>各遊戲 FOV / yaw 參考值</t>
  </si>
  <si>
    <t>狀態</t>
  </si>
  <si>
    <t>TPP FOV 80，tan^0.8 實測修正</t>
  </si>
  <si>
    <t>Source 2 / 腰射基準</t>
  </si>
  <si>
    <t>FOV 80–103 可選，tan^0.8 修正</t>
  </si>
  <si>
    <t>ADS FOV 70，基於 yaw×0.8 修正</t>
  </si>
  <si>
    <t>預設 FOV 基準</t>
  </si>
  <si>
    <t>Ввод пользователя</t>
  </si>
  <si>
    <t>Расчётное значение</t>
  </si>
  <si>
    <t>Калькулятор вертикального множителя</t>
  </si>
  <si>
    <t>Конвертер DPI</t>
  </si>
  <si>
    <t>Калькулятор PUBG-style eDPI</t>
  </si>
  <si>
    <t>Разрешение / Соотношение сторон</t>
  </si>
  <si>
    <t>Конвертер разрешения</t>
  </si>
  <si>
    <t>Текущая чувствительность</t>
  </si>
  <si>
    <t>Ваш DPI</t>
  </si>
  <si>
    <t>Разрешение</t>
  </si>
  <si>
    <t>Соотношение</t>
  </si>
  <si>
    <t>Текущий вертикальный множитель</t>
  </si>
  <si>
    <t>Текущий DPI</t>
  </si>
  <si>
    <t>Ваша чувствительность</t>
  </si>
  <si>
    <t>Целевая чувствительность</t>
  </si>
  <si>
    <t>Целевой DPI</t>
  </si>
  <si>
    <t>Разница чувствительности</t>
  </si>
  <si>
    <t>Разница DPI</t>
  </si>
  <si>
    <t>Коэффициент чувствительности</t>
  </si>
  <si>
    <t>Чувствительность</t>
  </si>
  <si>
    <t>Примечание</t>
  </si>
  <si>
    <t>Целевой вертикальный множитель</t>
  </si>
  <si>
    <t>16:9 → 16:10 (полноэкранное масштабирование)</t>
  </si>
  <si>
    <t>Текущий вертикальный ×1.11</t>
  </si>
  <si>
    <t>Округление</t>
  </si>
  <si>
    <t>16:10 → 16:9 (возврат масштаба)</t>
  </si>
  <si>
    <t>Текущий вертикальный ÷1.11</t>
  </si>
  <si>
    <t>Округление вниз</t>
  </si>
  <si>
    <t>16:9 → 21:9 (смена монитора)</t>
  </si>
  <si>
    <t>Текущий вертикальный ×0.85</t>
  </si>
  <si>
    <t>21:9 → 16:9 (смена монитора)</t>
  </si>
  <si>
    <t>Текущий вертикальный ÷0.85</t>
  </si>
  <si>
    <t>16:9 → 4:3 (полноэкранное масштабирование)</t>
  </si>
  <si>
    <t>4:3 → 16:9 (возврат масштаба)</t>
  </si>
  <si>
    <t>Эталонный DPI</t>
  </si>
  <si>
    <t>Эталонная чувствительность</t>
  </si>
  <si>
    <t>Калькулятор чувствительности PUBG</t>
  </si>
  <si>
    <t>Эталонный PUBG-style eDPI</t>
  </si>
  <si>
    <t>Ваша чувствительность при эталонном DPI</t>
  </si>
  <si>
    <t>Калькулятор чувствительности прицелов</t>
  </si>
  <si>
    <t>Чувствительность режима прицела</t>
  </si>
  <si>
    <t>Справка по формуле eDPI</t>
  </si>
  <si>
    <t>Вертикальный множитель</t>
  </si>
  <si>
    <t>На основе LastConvertedSensitivity из config PUBG</t>
  </si>
  <si>
    <t>Эффективный eDPI (с вертикалью)</t>
  </si>
  <si>
    <t>Чувствительность 2x</t>
  </si>
  <si>
    <t>Примерно 2× воспринимаемой скорости</t>
  </si>
  <si>
    <t>Чувствительность 3x</t>
  </si>
  <si>
    <t>360° Distance / Конвертер чувствительности FPS</t>
  </si>
  <si>
    <t>Ввод PUBG</t>
  </si>
  <si>
    <t>Целевая игра</t>
  </si>
  <si>
    <t>Формула / справка</t>
  </si>
  <si>
    <t>Игра</t>
  </si>
  <si>
    <t>Пункт</t>
  </si>
  <si>
    <t>Формула</t>
  </si>
  <si>
    <t>Описание</t>
  </si>
  <si>
    <t>Внутреннее преобразование PUBG</t>
  </si>
  <si>
    <t>На основе LastConvertedSensitivity из config</t>
  </si>
  <si>
    <t>Состояние PUBG</t>
  </si>
  <si>
    <t>Целевой yaw</t>
  </si>
  <si>
    <t>Оценка yaw PUBG</t>
  </si>
  <si>
    <t>16:9 / FOV 90 / ручная проверка</t>
  </si>
  <si>
    <t>Выбор FPP FOV</t>
  </si>
  <si>
    <t>Целевой FOV</t>
  </si>
  <si>
    <t>Множитель соотношения</t>
  </si>
  <si>
    <t>Коррекция формата основана на ручных измерениях. 16:10 считается как 16:9.</t>
  </si>
  <si>
    <t>Применённый FOV</t>
  </si>
  <si>
    <t>Конвертированная чувствительность</t>
  </si>
  <si>
    <t>Множитель FOV</t>
  </si>
  <si>
    <t>Сырой tan(FOV) напрямую не применяется. FPP/TPP используют степень 0.8; ADS основан на yaw×0.8.</t>
  </si>
  <si>
    <t>360 × 2.54 ÷ (DPI × yaw) × множитель формата × множитель состояния/FOV</t>
  </si>
  <si>
    <t>Дистанция с учетом выбранного формата и состояния/FOV</t>
  </si>
  <si>
    <t>Разница</t>
  </si>
  <si>
    <t>Чувствительность другой игры</t>
  </si>
  <si>
    <t>360 × 2.54 ÷ (целевой DPI × целевой yaw × PUBG cm/360)</t>
  </si>
  <si>
    <t>Конвертируется под тот же 360° Distance</t>
  </si>
  <si>
    <t>Результат</t>
  </si>
  <si>
    <t>Важно</t>
  </si>
  <si>
    <t>Неофициальное значение PUBG</t>
  </si>
  <si>
    <t>Поддержка PUBG не раскрывает внутренний yaw. Это справочное значение на основе config, измерений и обратного расчёта.</t>
  </si>
  <si>
    <t>Основа: тот же 360° Distance</t>
  </si>
  <si>
    <t>Основа проверки</t>
  </si>
  <si>
    <t>Изменения разрешения/формата/FOV учитываются через эмпирические поправки</t>
  </si>
  <si>
    <t>FOV / yaw / Distance по состоянию PUBG</t>
  </si>
  <si>
    <t>Справочные FOV / yaw по играм</t>
  </si>
  <si>
    <t>Состояние</t>
  </si>
  <si>
    <t>TPP FOV 80, коррекция tan^0.8 по измерениям</t>
  </si>
  <si>
    <t>База Source 2 / hipfire</t>
  </si>
  <si>
    <t>FOV 80–103 на выбор, коррекция tan^0.8</t>
  </si>
  <si>
    <t>База фиксированного FOV</t>
  </si>
  <si>
    <t>ADS FOV 70, поправка на основе yaw×0.8</t>
  </si>
  <si>
    <t>База FOV по умолчанию</t>
  </si>
  <si>
    <t>Current Resolution</t>
  </si>
  <si>
    <t>Target Resolution</t>
  </si>
  <si>
    <t>Current Sensitivity +3 / Current Vertical ×1.166</t>
  </si>
  <si>
    <t>Current Sensitivity -3 / Current Vertical ÷1.166</t>
  </si>
  <si>
    <t>現在の解像度</t>
  </si>
  <si>
    <t>変更後の解像度</t>
  </si>
  <si>
    <t>現在の感度 +3 / 現在の垂直倍率 ×1.166</t>
  </si>
  <si>
    <t>現在の感度 -3 / 現在の垂直倍率 ÷1.166</t>
  </si>
  <si>
    <t>当前分辨率</t>
  </si>
  <si>
    <t>目标分辨率</t>
  </si>
  <si>
    <t>当前灵敏度 +3 / 当前垂直倍率 ×1.166</t>
  </si>
  <si>
    <t>当前灵敏度 -3 / 当前垂直倍率 ÷1.166</t>
  </si>
  <si>
    <t>目前解析度</t>
  </si>
  <si>
    <t>目標解析度</t>
  </si>
  <si>
    <t>目前靈敏度 +3 / 目前垂直倍率 ×1.166</t>
  </si>
  <si>
    <t>目前靈敏度 -3 / 目前垂直倍率 ÷1.166</t>
  </si>
  <si>
    <t>Текущее разрешение</t>
  </si>
  <si>
    <t>Целевое разрешение</t>
  </si>
  <si>
    <t>Текущая чувствительность +3 / текущий вертикальный ×1.166</t>
  </si>
  <si>
    <t>Текущая чувствительность -3 / текущий вертикальный ÷1.166</t>
  </si>
</sst>
</file>

<file path=xl/styles.xml><?xml version="1.0" encoding="utf-8"?>
<styleSheet xmlns="http://schemas.openxmlformats.org/spreadsheetml/2006/main">
  <numFmts count="5">
    <numFmt numFmtId="176" formatCode="0.000%"/>
    <numFmt numFmtId="177" formatCode="0.00_ "/>
    <numFmt numFmtId="178" formatCode="0.000000"/>
    <numFmt numFmtId="179" formatCode="0.00\ &quot;cm&quot;"/>
    <numFmt numFmtId="180" formatCode="0.0000"/>
  </numFmts>
  <fonts count="12">
    <font>
      <sz val="11"/>
      <color theme="1"/>
      <name val="맑은 고딕"/>
    </font>
    <font>
      <sz val="18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sz val="13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8"/>
      <color rgb="FF666666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8" tint="0.79985961485641044"/>
        <bgColor indexed="65"/>
      </patternFill>
    </fill>
    <fill>
      <patternFill patternType="solid">
        <fgColor rgb="FFEAF3F8"/>
      </patternFill>
    </fill>
    <fill>
      <patternFill patternType="solid">
        <fgColor rgb="FFF2DDDD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2DDDD"/>
      </patternFill>
    </fill>
    <fill>
      <patternFill patternType="solid">
        <fgColor rgb="FFFAFAFA"/>
      </patternFill>
    </fill>
    <fill>
      <patternFill patternType="solid">
        <fgColor rgb="FFFFFCCD"/>
      </patternFill>
    </fill>
    <fill>
      <patternFill patternType="solid">
        <fgColor rgb="FFDCEFF5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222222"/>
      </left>
      <right style="thin">
        <color rgb="FF222222"/>
      </right>
      <top/>
      <bottom style="thin">
        <color rgb="FF222222"/>
      </bottom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/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/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20" fontId="2" fillId="0" borderId="6" xfId="0" applyNumberFormat="1" applyFont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8" xfId="0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9" fillId="7" borderId="28" xfId="0" applyFont="1" applyFill="1" applyBorder="1" applyAlignment="1">
      <alignment vertical="center" wrapText="1"/>
    </xf>
    <xf numFmtId="0" fontId="0" fillId="8" borderId="28" xfId="0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1" fontId="9" fillId="9" borderId="28" xfId="0" applyNumberFormat="1" applyFont="1" applyFill="1" applyBorder="1" applyAlignment="1">
      <alignment horizontal="center" vertical="center" wrapText="1"/>
    </xf>
    <xf numFmtId="1" fontId="0" fillId="11" borderId="28" xfId="0" applyNumberFormat="1" applyFill="1" applyBorder="1" applyAlignment="1">
      <alignment horizontal="right" vertical="center" wrapText="1"/>
    </xf>
    <xf numFmtId="0" fontId="0" fillId="11" borderId="28" xfId="0" applyFill="1" applyBorder="1" applyAlignment="1">
      <alignment horizontal="right" vertical="center" wrapText="1"/>
    </xf>
    <xf numFmtId="1" fontId="0" fillId="12" borderId="28" xfId="0" applyNumberFormat="1" applyFill="1" applyBorder="1" applyAlignment="1">
      <alignment horizontal="right" vertical="center" wrapText="1"/>
    </xf>
    <xf numFmtId="2" fontId="0" fillId="12" borderId="28" xfId="0" applyNumberFormat="1" applyFill="1" applyBorder="1" applyAlignment="1">
      <alignment horizontal="right" vertical="center" wrapText="1"/>
    </xf>
    <xf numFmtId="10" fontId="0" fillId="12" borderId="28" xfId="0" applyNumberFormat="1" applyFill="1" applyBorder="1" applyAlignment="1">
      <alignment horizontal="right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10" borderId="28" xfId="0" applyFont="1" applyFill="1" applyBorder="1" applyAlignment="1">
      <alignment horizontal="center" vertical="center" wrapText="1"/>
    </xf>
    <xf numFmtId="0" fontId="0" fillId="8" borderId="28" xfId="0" applyFill="1" applyBorder="1" applyAlignment="1">
      <alignment vertical="center" wrapText="1"/>
    </xf>
    <xf numFmtId="2" fontId="0" fillId="12" borderId="29" xfId="0" applyNumberFormat="1" applyFill="1" applyBorder="1" applyAlignment="1">
      <alignment horizontal="right" vertical="center" wrapText="1"/>
    </xf>
    <xf numFmtId="0" fontId="0" fillId="0" borderId="26" xfId="0" applyBorder="1" applyAlignment="1">
      <alignment vertical="center"/>
    </xf>
    <xf numFmtId="2" fontId="0" fillId="12" borderId="26" xfId="0" applyNumberFormat="1" applyFill="1" applyBorder="1" applyAlignment="1">
      <alignment horizontal="right" vertical="center"/>
    </xf>
    <xf numFmtId="0" fontId="0" fillId="8" borderId="29" xfId="0" applyFill="1" applyBorder="1" applyAlignment="1">
      <alignment vertical="center" wrapText="1"/>
    </xf>
    <xf numFmtId="0" fontId="0" fillId="8" borderId="29" xfId="0" applyFill="1" applyBorder="1" applyAlignment="1">
      <alignment horizontal="right" vertical="center" wrapText="1"/>
    </xf>
    <xf numFmtId="0" fontId="9" fillId="7" borderId="29" xfId="0" applyFont="1" applyFill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1" fontId="11" fillId="11" borderId="28" xfId="0" applyNumberFormat="1" applyFont="1" applyFill="1" applyBorder="1" applyAlignment="1">
      <alignment horizontal="right" vertical="center" wrapText="1"/>
    </xf>
    <xf numFmtId="0" fontId="0" fillId="12" borderId="29" xfId="0" applyFill="1" applyBorder="1" applyAlignment="1">
      <alignment horizontal="right" vertical="center" wrapText="1"/>
    </xf>
    <xf numFmtId="0" fontId="9" fillId="7" borderId="26" xfId="0" applyFont="1" applyFill="1" applyBorder="1" applyAlignment="1">
      <alignment vertical="center" wrapText="1"/>
    </xf>
    <xf numFmtId="0" fontId="0" fillId="12" borderId="26" xfId="0" applyFill="1" applyBorder="1" applyAlignment="1">
      <alignment horizontal="right" vertical="center" wrapText="1"/>
    </xf>
    <xf numFmtId="176" fontId="2" fillId="0" borderId="9" xfId="0" applyNumberFormat="1" applyFont="1" applyBorder="1" applyAlignment="1">
      <alignment vertical="center" wrapText="1"/>
    </xf>
    <xf numFmtId="176" fontId="2" fillId="0" borderId="17" xfId="0" applyNumberFormat="1" applyFont="1" applyBorder="1" applyAlignment="1">
      <alignment vertical="center" wrapText="1"/>
    </xf>
    <xf numFmtId="177" fontId="2" fillId="4" borderId="16" xfId="0" applyNumberFormat="1" applyFont="1" applyFill="1" applyBorder="1" applyAlignment="1">
      <alignment vertical="center" wrapText="1"/>
    </xf>
    <xf numFmtId="177" fontId="2" fillId="4" borderId="7" xfId="0" applyNumberFormat="1" applyFont="1" applyFill="1" applyBorder="1" applyAlignment="1">
      <alignment vertical="center" wrapText="1"/>
    </xf>
    <xf numFmtId="177" fontId="2" fillId="4" borderId="18" xfId="0" applyNumberFormat="1" applyFont="1" applyFill="1" applyBorder="1" applyAlignment="1">
      <alignment vertical="center" wrapText="1"/>
    </xf>
    <xf numFmtId="177" fontId="2" fillId="4" borderId="9" xfId="0" applyNumberFormat="1" applyFont="1" applyFill="1" applyBorder="1" applyAlignment="1">
      <alignment vertical="center" wrapText="1"/>
    </xf>
    <xf numFmtId="180" fontId="0" fillId="12" borderId="28" xfId="0" applyNumberFormat="1" applyFill="1" applyBorder="1" applyAlignment="1">
      <alignment horizontal="right" vertical="center" wrapText="1"/>
    </xf>
    <xf numFmtId="178" fontId="0" fillId="12" borderId="28" xfId="0" applyNumberFormat="1" applyFill="1" applyBorder="1" applyAlignment="1">
      <alignment horizontal="right" vertical="center" wrapText="1"/>
    </xf>
    <xf numFmtId="180" fontId="0" fillId="12" borderId="29" xfId="0" applyNumberFormat="1" applyFill="1" applyBorder="1" applyAlignment="1">
      <alignment horizontal="right" vertical="center" wrapText="1"/>
    </xf>
    <xf numFmtId="178" fontId="0" fillId="12" borderId="26" xfId="0" applyNumberFormat="1" applyFill="1" applyBorder="1" applyAlignment="1">
      <alignment horizontal="right" vertical="center"/>
    </xf>
    <xf numFmtId="178" fontId="9" fillId="10" borderId="28" xfId="0" applyNumberFormat="1" applyFont="1" applyFill="1" applyBorder="1" applyAlignment="1">
      <alignment horizontal="center" vertical="center" wrapText="1"/>
    </xf>
    <xf numFmtId="179" fontId="9" fillId="10" borderId="28" xfId="0" applyNumberFormat="1" applyFont="1" applyFill="1" applyBorder="1" applyAlignment="1">
      <alignment horizontal="center" vertical="center" wrapText="1"/>
    </xf>
    <xf numFmtId="180" fontId="0" fillId="8" borderId="28" xfId="0" applyNumberFormat="1" applyFill="1" applyBorder="1" applyAlignment="1">
      <alignment horizontal="right" vertical="center" wrapText="1"/>
    </xf>
    <xf numFmtId="178" fontId="0" fillId="12" borderId="29" xfId="0" applyNumberFormat="1" applyFill="1" applyBorder="1" applyAlignment="1">
      <alignment horizontal="right" vertical="center" wrapText="1"/>
    </xf>
    <xf numFmtId="180" fontId="0" fillId="8" borderId="29" xfId="0" applyNumberFormat="1" applyFill="1" applyBorder="1" applyAlignment="1">
      <alignment horizontal="right" vertical="center" wrapText="1"/>
    </xf>
    <xf numFmtId="180" fontId="0" fillId="12" borderId="26" xfId="0" applyNumberFormat="1" applyFill="1" applyBorder="1" applyAlignment="1">
      <alignment horizontal="right" vertical="center"/>
    </xf>
    <xf numFmtId="180" fontId="0" fillId="0" borderId="26" xfId="0" applyNumberFormat="1" applyBorder="1" applyAlignment="1">
      <alignment vertical="center"/>
    </xf>
    <xf numFmtId="0" fontId="9" fillId="9" borderId="28" xfId="0" applyFont="1" applyFill="1" applyBorder="1" applyAlignment="1">
      <alignment horizontal="center" vertical="center" wrapText="1"/>
    </xf>
    <xf numFmtId="20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20" fontId="0" fillId="0" borderId="0" xfId="0" applyNumberFormat="1" applyAlignment="1"/>
    <xf numFmtId="0" fontId="11" fillId="0" borderId="0" xfId="0" applyFont="1" applyAlignment="1"/>
    <xf numFmtId="0" fontId="0" fillId="0" borderId="0" xfId="0" applyFont="1" applyAlignment="1"/>
    <xf numFmtId="0" fontId="9" fillId="0" borderId="38" xfId="0" applyFont="1" applyBorder="1" applyAlignment="1">
      <alignment vertical="center"/>
    </xf>
    <xf numFmtId="178" fontId="0" fillId="12" borderId="38" xfId="0" applyNumberFormat="1" applyFill="1" applyBorder="1" applyAlignment="1">
      <alignment horizontal="right" vertical="center"/>
    </xf>
    <xf numFmtId="0" fontId="9" fillId="9" borderId="26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178" fontId="9" fillId="10" borderId="26" xfId="0" applyNumberFormat="1" applyFont="1" applyFill="1" applyBorder="1" applyAlignment="1">
      <alignment horizontal="center" vertical="center" wrapText="1"/>
    </xf>
    <xf numFmtId="179" fontId="9" fillId="10" borderId="26" xfId="0" applyNumberFormat="1" applyFont="1" applyFill="1" applyBorder="1" applyAlignment="1">
      <alignment horizontal="center" vertical="center" wrapText="1"/>
    </xf>
    <xf numFmtId="180" fontId="0" fillId="12" borderId="26" xfId="0" applyNumberFormat="1" applyFill="1" applyBorder="1" applyAlignment="1">
      <alignment horizontal="right" vertical="center" wrapText="1"/>
    </xf>
    <xf numFmtId="178" fontId="0" fillId="12" borderId="26" xfId="0" applyNumberFormat="1" applyFill="1" applyBorder="1" applyAlignment="1">
      <alignment horizontal="right" vertical="center" wrapText="1"/>
    </xf>
    <xf numFmtId="2" fontId="0" fillId="12" borderId="26" xfId="0" applyNumberForma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15" xfId="0" applyBorder="1" applyAlignment="1"/>
    <xf numFmtId="0" fontId="0" fillId="8" borderId="26" xfId="0" applyFill="1" applyBorder="1" applyAlignment="1">
      <alignment vertical="center" wrapText="1"/>
    </xf>
    <xf numFmtId="0" fontId="0" fillId="0" borderId="26" xfId="0" applyBorder="1" applyAlignment="1"/>
    <xf numFmtId="0" fontId="0" fillId="8" borderId="28" xfId="0" applyFill="1" applyBorder="1" applyAlignment="1">
      <alignment vertical="center" wrapText="1"/>
    </xf>
    <xf numFmtId="0" fontId="0" fillId="0" borderId="35" xfId="0" applyBorder="1" applyAlignment="1"/>
    <xf numFmtId="0" fontId="0" fillId="0" borderId="34" xfId="0" applyBorder="1" applyAlignment="1"/>
    <xf numFmtId="0" fontId="1" fillId="3" borderId="25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6" fillId="5" borderId="0" xfId="0" applyFont="1" applyFill="1" applyAlignment="1">
      <alignment vertical="center" wrapText="1"/>
    </xf>
    <xf numFmtId="0" fontId="0" fillId="0" borderId="0" xfId="0" applyAlignment="1"/>
    <xf numFmtId="0" fontId="0" fillId="8" borderId="29" xfId="0" applyFill="1" applyBorder="1" applyAlignment="1">
      <alignment vertical="center" wrapText="1"/>
    </xf>
    <xf numFmtId="0" fontId="0" fillId="0" borderId="32" xfId="0" applyBorder="1" applyAlignment="1"/>
    <xf numFmtId="0" fontId="0" fillId="0" borderId="33" xfId="0" applyBorder="1" applyAlignment="1"/>
    <xf numFmtId="0" fontId="8" fillId="5" borderId="0" xfId="0" applyFont="1" applyFill="1" applyAlignment="1">
      <alignment vertical="center" wrapText="1"/>
    </xf>
    <xf numFmtId="0" fontId="0" fillId="0" borderId="28" xfId="0" applyBorder="1" applyAlignment="1">
      <alignment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30" xfId="0" applyBorder="1" applyAlignment="1"/>
    <xf numFmtId="0" fontId="0" fillId="0" borderId="27" xfId="0" applyBorder="1" applyAlignment="1"/>
    <xf numFmtId="0" fontId="9" fillId="9" borderId="26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9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0" fillId="6" borderId="2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9" fillId="10" borderId="28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0" fillId="0" borderId="26" xfId="0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0" fontId="0" fillId="0" borderId="24" xfId="0" applyBorder="1" applyAlignment="1"/>
    <xf numFmtId="0" fontId="2" fillId="2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37" xfId="0" applyBorder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76"/>
  <sheetViews>
    <sheetView topLeftCell="A13" workbookViewId="0">
      <selection activeCell="C7" sqref="C7"/>
    </sheetView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35.625" style="2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0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1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2</v>
      </c>
      <c r="C5" s="106"/>
      <c r="D5" s="3"/>
      <c r="E5" s="105" t="s">
        <v>3</v>
      </c>
      <c r="F5" s="106"/>
      <c r="G5" s="3"/>
      <c r="H5" s="97" t="s">
        <v>4</v>
      </c>
      <c r="I5" s="99"/>
      <c r="J5" s="3"/>
      <c r="K5" s="105" t="s">
        <v>5</v>
      </c>
      <c r="L5" s="106"/>
      <c r="M5" s="3"/>
      <c r="N5" s="97" t="s">
        <v>6</v>
      </c>
      <c r="O5" s="98"/>
      <c r="P5" s="98"/>
      <c r="Q5" s="99"/>
    </row>
    <row r="6" spans="2:17" ht="19.5" customHeight="1">
      <c r="B6" s="8" t="s">
        <v>7</v>
      </c>
      <c r="C6" s="9"/>
      <c r="D6" s="3"/>
      <c r="E6" s="8" t="s">
        <v>7</v>
      </c>
      <c r="F6" s="10"/>
      <c r="G6" s="3"/>
      <c r="H6" s="8" t="s">
        <v>8</v>
      </c>
      <c r="I6" s="9"/>
      <c r="J6" s="3"/>
      <c r="K6" s="11" t="s">
        <v>9</v>
      </c>
      <c r="L6" s="12" t="s">
        <v>10</v>
      </c>
      <c r="M6" s="3"/>
      <c r="N6" s="8" t="s">
        <v>7</v>
      </c>
      <c r="O6" s="124"/>
      <c r="P6" s="125"/>
      <c r="Q6" s="130"/>
    </row>
    <row r="7" spans="2:17" ht="20.25" customHeight="1">
      <c r="B7" s="13" t="s">
        <v>11</v>
      </c>
      <c r="C7" s="14"/>
      <c r="D7" s="3"/>
      <c r="E7" s="13" t="s">
        <v>12</v>
      </c>
      <c r="F7" s="15"/>
      <c r="G7" s="3"/>
      <c r="H7" s="16" t="s">
        <v>13</v>
      </c>
      <c r="I7" s="17"/>
      <c r="J7" s="3"/>
      <c r="K7" s="18" t="s">
        <v>14</v>
      </c>
      <c r="L7" s="19" t="s">
        <v>15</v>
      </c>
      <c r="M7" s="3"/>
      <c r="N7" s="13" t="s">
        <v>11</v>
      </c>
      <c r="O7" s="132"/>
      <c r="P7" s="117"/>
      <c r="Q7" s="131"/>
    </row>
    <row r="8" spans="2:17" ht="20.25" customHeight="1">
      <c r="B8" s="16" t="s">
        <v>16</v>
      </c>
      <c r="C8" s="17"/>
      <c r="D8" s="3"/>
      <c r="E8" s="16" t="s">
        <v>17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20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22</v>
      </c>
      <c r="C9" s="24">
        <f>C8-C6</f>
        <v>0</v>
      </c>
      <c r="D9" s="3"/>
      <c r="E9" s="25" t="s">
        <v>23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25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27</v>
      </c>
      <c r="C10" s="65">
        <f>10^(C9/50)</f>
        <v>1</v>
      </c>
      <c r="D10" s="3"/>
      <c r="E10" s="21" t="s">
        <v>16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5</v>
      </c>
      <c r="O10" s="66" t="s">
        <v>28</v>
      </c>
      <c r="P10" s="28" t="s">
        <v>29</v>
      </c>
      <c r="Q10" s="12" t="s">
        <v>30</v>
      </c>
    </row>
    <row r="11" spans="2:17" ht="24" customHeight="1">
      <c r="B11" s="29" t="s">
        <v>31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34</v>
      </c>
      <c r="O11" s="31">
        <f>O6</f>
        <v>0</v>
      </c>
      <c r="P11" s="67">
        <f>O7*1.11</f>
        <v>0</v>
      </c>
      <c r="Q11" s="68" t="s">
        <v>35</v>
      </c>
    </row>
    <row r="12" spans="2:17" ht="24" customHeight="1">
      <c r="B12" s="13" t="s">
        <v>36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38</v>
      </c>
      <c r="O12" s="31">
        <f>O6</f>
        <v>0</v>
      </c>
      <c r="P12" s="67">
        <f>O7/1.11</f>
        <v>0</v>
      </c>
      <c r="Q12" s="68" t="s">
        <v>39</v>
      </c>
    </row>
    <row r="13" spans="2:17" ht="24" customHeight="1">
      <c r="B13" s="16" t="s">
        <v>40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42</v>
      </c>
      <c r="O13" s="31">
        <f>O6</f>
        <v>0</v>
      </c>
      <c r="P13" s="67">
        <f>O7*0.85</f>
        <v>0</v>
      </c>
      <c r="Q13" s="68" t="s">
        <v>43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45</v>
      </c>
      <c r="O14" s="31">
        <f>O6</f>
        <v>0</v>
      </c>
      <c r="P14" s="67">
        <f>O7/0.85</f>
        <v>0</v>
      </c>
      <c r="Q14" s="68" t="s">
        <v>46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48</v>
      </c>
      <c r="O15" s="31">
        <f>O6+3</f>
        <v>3</v>
      </c>
      <c r="P15" s="67">
        <f>O7*1.33</f>
        <v>0</v>
      </c>
      <c r="Q15" s="68" t="s">
        <v>49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51</v>
      </c>
      <c r="O16" s="35">
        <f>O6-3</f>
        <v>-3</v>
      </c>
      <c r="P16" s="69">
        <f>O7/1.33</f>
        <v>0</v>
      </c>
      <c r="Q16" s="70" t="s">
        <v>52</v>
      </c>
    </row>
    <row r="17" spans="2:17">
      <c r="B17" s="3"/>
      <c r="C17" s="3"/>
      <c r="D17" s="3"/>
      <c r="E17" s="3"/>
      <c r="F17" s="3"/>
      <c r="G17" s="3"/>
      <c r="H17" s="36" t="s">
        <v>53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55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57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58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23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64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65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66</v>
      </c>
      <c r="C23" s="9"/>
      <c r="D23" s="3"/>
      <c r="E23" s="3"/>
      <c r="F23" s="3"/>
      <c r="G23" s="3"/>
      <c r="H23" s="112" t="s">
        <v>67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68</v>
      </c>
      <c r="C24" s="14"/>
      <c r="D24" s="3"/>
      <c r="E24" s="3"/>
      <c r="F24" s="3"/>
      <c r="G24" s="3"/>
      <c r="H24" s="107" t="s">
        <v>69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71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72</v>
      </c>
      <c r="C26" s="41" t="e">
        <f>B32*C24</f>
        <v>#NUM!</v>
      </c>
      <c r="D26" s="3"/>
      <c r="E26" s="3"/>
      <c r="F26" s="3"/>
      <c r="G26" s="3"/>
      <c r="H26" s="107" t="s">
        <v>73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74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75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76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77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82" t="s">
        <v>78</v>
      </c>
      <c r="C36" s="45"/>
      <c r="D36" s="44"/>
      <c r="E36" s="82" t="s">
        <v>79</v>
      </c>
      <c r="F36" s="82"/>
      <c r="G36" s="44"/>
      <c r="H36" s="120" t="s">
        <v>80</v>
      </c>
      <c r="I36" s="122"/>
      <c r="J36" s="120"/>
      <c r="K36" s="121"/>
      <c r="L36" s="121"/>
      <c r="M36" s="122"/>
      <c r="N36" s="120"/>
      <c r="O36" s="121"/>
      <c r="P36" s="121"/>
      <c r="Q36" s="122"/>
    </row>
    <row r="37" spans="2:17" ht="30" customHeight="1">
      <c r="B37" s="42" t="s">
        <v>81</v>
      </c>
      <c r="C37" s="46">
        <v>400</v>
      </c>
      <c r="D37" s="44"/>
      <c r="E37" s="42" t="s">
        <v>82</v>
      </c>
      <c r="F37" s="61" t="s">
        <v>83</v>
      </c>
      <c r="G37" s="44"/>
      <c r="H37" s="126" t="s">
        <v>84</v>
      </c>
      <c r="I37" s="103"/>
      <c r="J37" s="126" t="s">
        <v>85</v>
      </c>
      <c r="K37" s="104"/>
      <c r="L37" s="104"/>
      <c r="M37" s="103"/>
      <c r="N37" s="126" t="s">
        <v>86</v>
      </c>
      <c r="O37" s="104"/>
      <c r="P37" s="104"/>
      <c r="Q37" s="103"/>
    </row>
    <row r="38" spans="2:17" ht="30" customHeight="1">
      <c r="B38" s="42" t="s">
        <v>28</v>
      </c>
      <c r="C38" s="46">
        <v>50</v>
      </c>
      <c r="D38" s="44"/>
      <c r="E38" s="42" t="s">
        <v>87</v>
      </c>
      <c r="F38" s="46">
        <v>400</v>
      </c>
      <c r="G38" s="44"/>
      <c r="H38" s="102" t="s">
        <v>88</v>
      </c>
      <c r="I38" s="103"/>
      <c r="J38" s="113" t="s">
        <v>89</v>
      </c>
      <c r="K38" s="104"/>
      <c r="L38" s="104"/>
      <c r="M38" s="103"/>
      <c r="N38" s="102" t="s">
        <v>90</v>
      </c>
      <c r="O38" s="104"/>
      <c r="P38" s="104"/>
      <c r="Q38" s="103"/>
    </row>
    <row r="39" spans="2:17" ht="30" customHeight="1">
      <c r="B39" s="42" t="s">
        <v>91</v>
      </c>
      <c r="C39" s="46" t="s">
        <v>92</v>
      </c>
      <c r="D39" s="44"/>
      <c r="E39" s="42" t="s">
        <v>93</v>
      </c>
      <c r="F39" s="71">
        <f>VLOOKUP(F37,$J$50:$L$52,2,FALSE)</f>
        <v>2.1999999999999999E-2</v>
      </c>
      <c r="G39" s="44"/>
      <c r="H39" s="102" t="s">
        <v>94</v>
      </c>
      <c r="I39" s="103"/>
      <c r="J39" s="113" t="s">
        <v>95</v>
      </c>
      <c r="K39" s="104"/>
      <c r="L39" s="104"/>
      <c r="M39" s="103"/>
      <c r="N39" s="102" t="s">
        <v>96</v>
      </c>
      <c r="O39" s="104"/>
      <c r="P39" s="104"/>
      <c r="Q39" s="103"/>
    </row>
    <row r="40" spans="2:17" ht="30" customHeight="1">
      <c r="B40" s="42" t="s">
        <v>97</v>
      </c>
      <c r="C40" s="46">
        <v>90</v>
      </c>
      <c r="D40" s="44"/>
      <c r="E40" s="42" t="s">
        <v>98</v>
      </c>
      <c r="F40" s="49" t="str">
        <f>VLOOKUP(F37,$J$50:$L$52,3,FALSE)</f>
        <v>90 (4:3 base)</v>
      </c>
      <c r="G40" s="44"/>
      <c r="H40" s="102" t="s">
        <v>99</v>
      </c>
      <c r="I40" s="103"/>
      <c r="J40" s="113" t="s">
        <v>100</v>
      </c>
      <c r="K40" s="104"/>
      <c r="L40" s="104"/>
      <c r="M40" s="103"/>
      <c r="N40" s="102" t="s">
        <v>101</v>
      </c>
      <c r="O40" s="104"/>
      <c r="P40" s="104"/>
      <c r="Q40" s="103"/>
    </row>
    <row r="41" spans="2:17" ht="30" customHeight="1">
      <c r="B41" s="42" t="s">
        <v>102</v>
      </c>
      <c r="C41" s="48">
        <f>IF(C39=$B$50,80,IF(C39=$B$52,$C$52,C40))</f>
        <v>90</v>
      </c>
      <c r="D41" s="44"/>
      <c r="E41" s="42" t="s">
        <v>103</v>
      </c>
      <c r="F41" s="49">
        <f>360*2.54/(F38*F39*F42)</f>
        <v>2.2727272727272729</v>
      </c>
      <c r="G41" s="44"/>
      <c r="H41" s="102" t="s">
        <v>104</v>
      </c>
      <c r="I41" s="103"/>
      <c r="J41" s="113" t="s">
        <v>105</v>
      </c>
      <c r="K41" s="104"/>
      <c r="L41" s="104"/>
      <c r="M41" s="103"/>
      <c r="N41" s="102" t="s">
        <v>106</v>
      </c>
      <c r="O41" s="104"/>
      <c r="P41" s="104"/>
      <c r="Q41" s="103"/>
    </row>
    <row r="42" spans="2:17" ht="30" customHeight="1">
      <c r="B42" s="42" t="s">
        <v>9</v>
      </c>
      <c r="C42" s="47" t="s">
        <v>56</v>
      </c>
      <c r="D42" s="44"/>
      <c r="E42" s="42" t="s">
        <v>107</v>
      </c>
      <c r="F42" s="49">
        <f>360*2.54/(C37*C46)*C44*C45</f>
        <v>45.72</v>
      </c>
      <c r="G42" s="44"/>
      <c r="H42" s="102" t="s">
        <v>108</v>
      </c>
      <c r="I42" s="103"/>
      <c r="J42" s="113" t="s">
        <v>109</v>
      </c>
      <c r="K42" s="104"/>
      <c r="L42" s="104"/>
      <c r="M42" s="103"/>
      <c r="N42" s="102" t="s">
        <v>110</v>
      </c>
      <c r="O42" s="104"/>
      <c r="P42" s="104"/>
      <c r="Q42" s="103"/>
    </row>
    <row r="43" spans="2:17" ht="30" customHeight="1">
      <c r="B43" s="42" t="s">
        <v>10</v>
      </c>
      <c r="C43" s="72" t="str">
        <f>INDEX($L$7:$L$20,MATCH(C42,$K$7:$K$20,0))</f>
        <v>16:10</v>
      </c>
      <c r="D43" s="44"/>
      <c r="E43" s="42" t="s">
        <v>111</v>
      </c>
      <c r="F43" s="50">
        <f>F42/F42-1</f>
        <v>0</v>
      </c>
      <c r="G43" s="44"/>
      <c r="H43" s="102" t="s">
        <v>112</v>
      </c>
      <c r="I43" s="103"/>
      <c r="J43" s="113" t="s">
        <v>113</v>
      </c>
      <c r="K43" s="104"/>
      <c r="L43" s="104"/>
      <c r="M43" s="103"/>
      <c r="N43" s="102" t="s">
        <v>114</v>
      </c>
      <c r="O43" s="104"/>
      <c r="P43" s="104"/>
      <c r="Q43" s="103"/>
    </row>
    <row r="44" spans="2:17" ht="30" customHeight="1">
      <c r="B44" s="42" t="s">
        <v>99</v>
      </c>
      <c r="C44" s="71">
        <f>IF(C43="16:9",1,IF(C43="16:10",1,IF(C43="21:9",0.85,IF(C43="4:3",1.16,1))))</f>
        <v>1</v>
      </c>
      <c r="D44" s="44"/>
      <c r="E44" s="59" t="s">
        <v>115</v>
      </c>
      <c r="F44" s="62" t="str">
        <f>F37&amp;" 감도 "&amp;TEXT(F41,"0.00")&amp;" / "&amp;TEXT(F42,"0.00")&amp;" cm/360"</f>
        <v>CS2 감도 2.27 / 45.72 cm/360</v>
      </c>
      <c r="G44" s="44"/>
      <c r="H44" s="109" t="s">
        <v>116</v>
      </c>
      <c r="I44" s="111"/>
      <c r="J44" s="128" t="s">
        <v>117</v>
      </c>
      <c r="K44" s="110"/>
      <c r="L44" s="110"/>
      <c r="M44" s="111"/>
      <c r="N44" s="109" t="s">
        <v>118</v>
      </c>
      <c r="O44" s="110"/>
      <c r="P44" s="110"/>
      <c r="Q44" s="111"/>
    </row>
    <row r="45" spans="2:17" ht="30" customHeight="1">
      <c r="B45" s="59" t="s">
        <v>104</v>
      </c>
      <c r="C45" s="73">
        <f>IF(C39=$B$52,1/0.8,(TAN(RADIANS(90/2))/TAN(RADIANS(C41/2)))^0.8)</f>
        <v>1</v>
      </c>
      <c r="D45" s="44"/>
      <c r="E45" s="63" t="s">
        <v>30</v>
      </c>
      <c r="F45" s="64" t="s">
        <v>119</v>
      </c>
      <c r="G45" s="44"/>
      <c r="H45" s="129" t="s">
        <v>120</v>
      </c>
      <c r="I45" s="117"/>
      <c r="J45" s="133" t="s">
        <v>121</v>
      </c>
      <c r="K45" s="116"/>
      <c r="L45" s="116"/>
      <c r="M45" s="117"/>
      <c r="N45" s="115" t="s">
        <v>122</v>
      </c>
      <c r="O45" s="116"/>
      <c r="P45" s="116"/>
      <c r="Q45" s="117"/>
    </row>
    <row r="46" spans="2:17" ht="30" customHeight="1">
      <c r="B46" s="88" t="s">
        <v>123</v>
      </c>
      <c r="C46" s="89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27" t="s">
        <v>107</v>
      </c>
      <c r="C47" s="101"/>
      <c r="D47" s="101"/>
      <c r="E47" s="101"/>
      <c r="F47" s="101"/>
      <c r="G47" s="101"/>
      <c r="H47" s="101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8" t="s">
        <v>124</v>
      </c>
      <c r="C48" s="101"/>
      <c r="D48" s="90"/>
      <c r="E48" s="90"/>
      <c r="F48" s="90"/>
      <c r="G48" s="118"/>
      <c r="H48" s="101"/>
      <c r="I48" s="44"/>
      <c r="J48" s="51" t="s">
        <v>125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14" t="s">
        <v>126</v>
      </c>
      <c r="C49" s="101"/>
      <c r="D49" s="91" t="s">
        <v>104</v>
      </c>
      <c r="E49" s="92" t="s">
        <v>127</v>
      </c>
      <c r="F49" s="93" t="s">
        <v>107</v>
      </c>
      <c r="G49" s="114" t="s">
        <v>30</v>
      </c>
      <c r="H49" s="101"/>
      <c r="I49" s="44"/>
      <c r="J49" s="52" t="s">
        <v>82</v>
      </c>
      <c r="K49" s="75" t="s">
        <v>128</v>
      </c>
      <c r="L49" s="52" t="s">
        <v>129</v>
      </c>
      <c r="M49" s="126" t="s">
        <v>30</v>
      </c>
      <c r="N49" s="104"/>
      <c r="O49" s="104"/>
      <c r="P49" s="104"/>
      <c r="Q49" s="103"/>
    </row>
    <row r="50" spans="2:17" ht="21.95" customHeight="1">
      <c r="B50" s="100" t="s">
        <v>130</v>
      </c>
      <c r="C50" s="101"/>
      <c r="D50" s="94">
        <f>(TAN(RADIANS(90/2))/TAN(RADIANS(80/2)))^0.8</f>
        <v>1.1506657221634735</v>
      </c>
      <c r="E50" s="95">
        <f>$C$46</f>
        <v>0.05</v>
      </c>
      <c r="F50" s="96">
        <f>360*2.54/($C$37*E50)*$C$44*D50</f>
        <v>52.608436817314008</v>
      </c>
      <c r="G50" s="100" t="s">
        <v>131</v>
      </c>
      <c r="H50" s="101"/>
      <c r="I50" s="44"/>
      <c r="J50" s="53" t="s">
        <v>83</v>
      </c>
      <c r="K50" s="77">
        <v>2.1999999999999999E-2</v>
      </c>
      <c r="L50" s="43" t="s">
        <v>132</v>
      </c>
      <c r="M50" s="102" t="s">
        <v>133</v>
      </c>
      <c r="N50" s="104"/>
      <c r="O50" s="104"/>
      <c r="P50" s="104"/>
      <c r="Q50" s="103"/>
    </row>
    <row r="51" spans="2:17" ht="21.95" customHeight="1">
      <c r="B51" s="100" t="s">
        <v>92</v>
      </c>
      <c r="C51" s="101"/>
      <c r="D51" s="94">
        <f>(TAN(RADIANS(90/2))/TAN(RADIANS($C$40/2)))^0.8</f>
        <v>1</v>
      </c>
      <c r="E51" s="95">
        <f>$C$46</f>
        <v>0.05</v>
      </c>
      <c r="F51" s="96">
        <f>360*2.54/($C$37*E51)*$C$44*D51</f>
        <v>45.72</v>
      </c>
      <c r="G51" s="100" t="s">
        <v>134</v>
      </c>
      <c r="H51" s="101"/>
      <c r="I51" s="44"/>
      <c r="J51" s="57" t="s">
        <v>135</v>
      </c>
      <c r="K51" s="79">
        <v>7.0000000000000007E-2</v>
      </c>
      <c r="L51" s="58">
        <v>103</v>
      </c>
      <c r="M51" s="109" t="s">
        <v>136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138</v>
      </c>
      <c r="H52" s="101"/>
      <c r="I52" s="44"/>
      <c r="J52" s="55" t="s">
        <v>139</v>
      </c>
      <c r="K52" s="81">
        <v>6.6E-3</v>
      </c>
      <c r="L52" s="55">
        <v>103</v>
      </c>
      <c r="M52" s="115" t="s">
        <v>140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8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84"/>
      <c r="C57" s="8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84"/>
      <c r="C58" s="83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84"/>
      <c r="C59" s="83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  <row r="60" spans="2:17">
      <c r="B60" s="84"/>
      <c r="C60" s="85"/>
      <c r="D60" s="44"/>
    </row>
    <row r="63" spans="2:17">
      <c r="B63" s="84"/>
      <c r="C63" s="85"/>
    </row>
    <row r="64" spans="2:17">
      <c r="C64" s="85"/>
    </row>
    <row r="65" spans="2:6">
      <c r="B65" s="86"/>
      <c r="C65" s="85"/>
    </row>
    <row r="66" spans="2:6">
      <c r="C66" s="85"/>
    </row>
    <row r="67" spans="2:6">
      <c r="B67" s="86"/>
      <c r="C67" s="85"/>
      <c r="F67" s="86"/>
    </row>
    <row r="68" spans="2:6">
      <c r="C68" s="85"/>
      <c r="F68" s="86"/>
    </row>
    <row r="69" spans="2:6">
      <c r="C69" s="85"/>
      <c r="F69" s="86"/>
    </row>
    <row r="70" spans="2:6">
      <c r="E70" s="87"/>
    </row>
    <row r="71" spans="2:6">
      <c r="B71" s="86"/>
      <c r="D71" s="86"/>
      <c r="E71" s="86"/>
    </row>
    <row r="72" spans="2:6">
      <c r="B72" s="86"/>
    </row>
    <row r="73" spans="2:6">
      <c r="B73" s="86"/>
    </row>
    <row r="74" spans="2:6">
      <c r="B74" s="86"/>
    </row>
    <row r="75" spans="2:6">
      <c r="B75" s="86"/>
    </row>
    <row r="76" spans="2:6">
      <c r="B76" s="86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"3인칭 일반,1인칭 일반,ADS"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59"/>
  <sheetViews>
    <sheetView topLeftCell="E1" workbookViewId="0">
      <selection activeCell="Q19" sqref="Q19"/>
    </sheetView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51.25" style="2" bestFit="1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141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142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143</v>
      </c>
      <c r="C5" s="106"/>
      <c r="D5" s="3"/>
      <c r="E5" s="105" t="s">
        <v>144</v>
      </c>
      <c r="F5" s="106"/>
      <c r="G5" s="3"/>
      <c r="H5" s="97" t="s">
        <v>145</v>
      </c>
      <c r="I5" s="99"/>
      <c r="J5" s="3"/>
      <c r="K5" s="105" t="s">
        <v>146</v>
      </c>
      <c r="L5" s="106"/>
      <c r="M5" s="3"/>
      <c r="N5" s="97" t="s">
        <v>147</v>
      </c>
      <c r="O5" s="98"/>
      <c r="P5" s="98"/>
      <c r="Q5" s="99"/>
    </row>
    <row r="6" spans="2:17" ht="19.5" customHeight="1">
      <c r="B6" s="8" t="s">
        <v>148</v>
      </c>
      <c r="C6" s="9"/>
      <c r="D6" s="3"/>
      <c r="E6" s="8" t="s">
        <v>148</v>
      </c>
      <c r="F6" s="10"/>
      <c r="G6" s="3"/>
      <c r="H6" s="8" t="s">
        <v>149</v>
      </c>
      <c r="I6" s="9"/>
      <c r="J6" s="3"/>
      <c r="K6" s="11" t="s">
        <v>150</v>
      </c>
      <c r="L6" s="12" t="s">
        <v>151</v>
      </c>
      <c r="M6" s="3"/>
      <c r="N6" s="8" t="s">
        <v>148</v>
      </c>
      <c r="O6" s="124"/>
      <c r="P6" s="125"/>
      <c r="Q6" s="130"/>
    </row>
    <row r="7" spans="2:17" ht="20.25" customHeight="1">
      <c r="B7" s="13" t="s">
        <v>152</v>
      </c>
      <c r="C7" s="14"/>
      <c r="D7" s="3"/>
      <c r="E7" s="13" t="s">
        <v>153</v>
      </c>
      <c r="F7" s="15"/>
      <c r="G7" s="3"/>
      <c r="H7" s="16" t="s">
        <v>154</v>
      </c>
      <c r="I7" s="17"/>
      <c r="J7" s="3"/>
      <c r="K7" s="18" t="s">
        <v>14</v>
      </c>
      <c r="L7" s="19" t="s">
        <v>15</v>
      </c>
      <c r="M7" s="3"/>
      <c r="N7" s="13" t="s">
        <v>152</v>
      </c>
      <c r="O7" s="132"/>
      <c r="P7" s="117"/>
      <c r="Q7" s="131"/>
    </row>
    <row r="8" spans="2:17" ht="20.25" customHeight="1">
      <c r="B8" s="16" t="s">
        <v>155</v>
      </c>
      <c r="C8" s="17"/>
      <c r="D8" s="3"/>
      <c r="E8" s="16" t="s">
        <v>156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601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157</v>
      </c>
      <c r="C9" s="24">
        <f>C8-C6</f>
        <v>0</v>
      </c>
      <c r="D9" s="3"/>
      <c r="E9" s="25" t="s">
        <v>158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602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159</v>
      </c>
      <c r="C10" s="65">
        <f>10^(C9/50)</f>
        <v>1</v>
      </c>
      <c r="D10" s="3"/>
      <c r="E10" s="21" t="s">
        <v>155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146</v>
      </c>
      <c r="O10" s="66" t="s">
        <v>160</v>
      </c>
      <c r="P10" s="28" t="s">
        <v>183</v>
      </c>
      <c r="Q10" s="12" t="s">
        <v>161</v>
      </c>
    </row>
    <row r="11" spans="2:17" ht="24" customHeight="1">
      <c r="B11" s="29" t="s">
        <v>162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163</v>
      </c>
      <c r="O11" s="31">
        <f>O6</f>
        <v>0</v>
      </c>
      <c r="P11" s="67">
        <f>O7*1.11</f>
        <v>0</v>
      </c>
      <c r="Q11" s="68" t="s">
        <v>164</v>
      </c>
    </row>
    <row r="12" spans="2:17" ht="24" customHeight="1">
      <c r="B12" s="13" t="s">
        <v>165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166</v>
      </c>
      <c r="O12" s="31">
        <f>O6</f>
        <v>0</v>
      </c>
      <c r="P12" s="67">
        <f>O7/1.11</f>
        <v>0</v>
      </c>
      <c r="Q12" s="68" t="s">
        <v>167</v>
      </c>
    </row>
    <row r="13" spans="2:17" ht="24" customHeight="1">
      <c r="B13" s="16" t="s">
        <v>168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169</v>
      </c>
      <c r="O13" s="31">
        <f>O6</f>
        <v>0</v>
      </c>
      <c r="P13" s="67">
        <f>O7*0.85</f>
        <v>0</v>
      </c>
      <c r="Q13" s="68" t="s">
        <v>170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171</v>
      </c>
      <c r="O14" s="31">
        <f>O6</f>
        <v>0</v>
      </c>
      <c r="P14" s="67">
        <f>O7/0.85</f>
        <v>0</v>
      </c>
      <c r="Q14" s="68" t="s">
        <v>172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173</v>
      </c>
      <c r="O15" s="31">
        <f>O6+3</f>
        <v>3</v>
      </c>
      <c r="P15" s="67">
        <f>O7*1.166</f>
        <v>0</v>
      </c>
      <c r="Q15" s="68" t="s">
        <v>603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174</v>
      </c>
      <c r="O16" s="35">
        <f>O6-3</f>
        <v>-3</v>
      </c>
      <c r="P16" s="69">
        <f>O7/1.166</f>
        <v>0</v>
      </c>
      <c r="Q16" s="70" t="s">
        <v>604</v>
      </c>
    </row>
    <row r="17" spans="2:17">
      <c r="B17" s="3"/>
      <c r="C17" s="3"/>
      <c r="D17" s="3"/>
      <c r="E17" s="3"/>
      <c r="F17" s="3"/>
      <c r="G17" s="3"/>
      <c r="H17" s="36" t="s">
        <v>175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176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177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178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158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179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180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181</v>
      </c>
      <c r="C23" s="9"/>
      <c r="D23" s="3"/>
      <c r="E23" s="3"/>
      <c r="F23" s="3"/>
      <c r="G23" s="3"/>
      <c r="H23" s="112" t="s">
        <v>182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183</v>
      </c>
      <c r="C24" s="14"/>
      <c r="D24" s="3"/>
      <c r="E24" s="3"/>
      <c r="F24" s="3"/>
      <c r="G24" s="3"/>
      <c r="H24" s="107" t="s">
        <v>184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185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186</v>
      </c>
      <c r="C26" s="41" t="e">
        <f>B32*C24</f>
        <v>#NUM!</v>
      </c>
      <c r="D26" s="3"/>
      <c r="E26" s="3"/>
      <c r="F26" s="3"/>
      <c r="G26" s="3"/>
      <c r="H26" s="107" t="s">
        <v>187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188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189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190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191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51" t="s">
        <v>192</v>
      </c>
      <c r="C36" s="45"/>
      <c r="D36" s="44"/>
      <c r="E36" s="51" t="s">
        <v>193</v>
      </c>
      <c r="F36" s="51"/>
      <c r="G36" s="44"/>
      <c r="H36" s="119" t="s">
        <v>194</v>
      </c>
      <c r="I36" s="103"/>
      <c r="J36" s="119"/>
      <c r="K36" s="104"/>
      <c r="L36" s="104"/>
      <c r="M36" s="103"/>
      <c r="N36" s="119"/>
      <c r="O36" s="104"/>
      <c r="P36" s="104"/>
      <c r="Q36" s="103"/>
    </row>
    <row r="37" spans="2:17" ht="30" customHeight="1">
      <c r="B37" s="42" t="s">
        <v>81</v>
      </c>
      <c r="C37" s="46">
        <v>400</v>
      </c>
      <c r="D37" s="44"/>
      <c r="E37" s="42" t="s">
        <v>195</v>
      </c>
      <c r="F37" s="61" t="s">
        <v>83</v>
      </c>
      <c r="G37" s="44"/>
      <c r="H37" s="126" t="s">
        <v>196</v>
      </c>
      <c r="I37" s="103"/>
      <c r="J37" s="126" t="s">
        <v>197</v>
      </c>
      <c r="K37" s="104"/>
      <c r="L37" s="104"/>
      <c r="M37" s="103"/>
      <c r="N37" s="126" t="s">
        <v>198</v>
      </c>
      <c r="O37" s="104"/>
      <c r="P37" s="104"/>
      <c r="Q37" s="103"/>
    </row>
    <row r="38" spans="2:17" ht="30" customHeight="1">
      <c r="B38" s="42" t="s">
        <v>160</v>
      </c>
      <c r="C38" s="46">
        <v>50</v>
      </c>
      <c r="D38" s="44"/>
      <c r="E38" s="42" t="s">
        <v>156</v>
      </c>
      <c r="F38" s="46">
        <v>400</v>
      </c>
      <c r="G38" s="44"/>
      <c r="H38" s="102" t="s">
        <v>199</v>
      </c>
      <c r="I38" s="103"/>
      <c r="J38" s="113" t="s">
        <v>200</v>
      </c>
      <c r="K38" s="104"/>
      <c r="L38" s="104"/>
      <c r="M38" s="103"/>
      <c r="N38" s="102" t="s">
        <v>201</v>
      </c>
      <c r="O38" s="104"/>
      <c r="P38" s="104"/>
      <c r="Q38" s="103"/>
    </row>
    <row r="39" spans="2:17" ht="30" customHeight="1">
      <c r="B39" s="42" t="s">
        <v>202</v>
      </c>
      <c r="C39" s="46" t="s">
        <v>203</v>
      </c>
      <c r="D39" s="44"/>
      <c r="E39" s="42" t="s">
        <v>204</v>
      </c>
      <c r="F39" s="71">
        <f>VLOOKUP(F37,$J$50:$L$52,2,FALSE)</f>
        <v>2.1999999999999999E-2</v>
      </c>
      <c r="G39" s="44"/>
      <c r="H39" s="102" t="s">
        <v>205</v>
      </c>
      <c r="I39" s="103"/>
      <c r="J39" s="113" t="s">
        <v>206</v>
      </c>
      <c r="K39" s="104"/>
      <c r="L39" s="104"/>
      <c r="M39" s="103"/>
      <c r="N39" s="102" t="s">
        <v>207</v>
      </c>
      <c r="O39" s="104"/>
      <c r="P39" s="104"/>
      <c r="Q39" s="103"/>
    </row>
    <row r="40" spans="2:17" ht="30" customHeight="1">
      <c r="B40" s="42" t="s">
        <v>208</v>
      </c>
      <c r="C40" s="46">
        <v>90</v>
      </c>
      <c r="D40" s="44"/>
      <c r="E40" s="42" t="s">
        <v>209</v>
      </c>
      <c r="F40" s="49" t="str">
        <f>VLOOKUP(F37,$J$50:$L$52,3,FALSE)</f>
        <v>90 (4:3 base)</v>
      </c>
      <c r="G40" s="44"/>
      <c r="H40" s="102" t="s">
        <v>210</v>
      </c>
      <c r="I40" s="103"/>
      <c r="J40" s="113" t="s">
        <v>100</v>
      </c>
      <c r="K40" s="104"/>
      <c r="L40" s="104"/>
      <c r="M40" s="103"/>
      <c r="N40" s="102" t="s">
        <v>211</v>
      </c>
      <c r="O40" s="104"/>
      <c r="P40" s="104"/>
      <c r="Q40" s="103"/>
    </row>
    <row r="41" spans="2:17" ht="30" customHeight="1">
      <c r="B41" s="42" t="s">
        <v>212</v>
      </c>
      <c r="C41" s="48">
        <f>IF(C39=$B$50,80,IF(C39=$B$52,$C$52,C40))</f>
        <v>80</v>
      </c>
      <c r="D41" s="44"/>
      <c r="E41" s="42" t="s">
        <v>213</v>
      </c>
      <c r="F41" s="49">
        <f>360*2.54/(F38*F39*F42)</f>
        <v>1.9751411977877531</v>
      </c>
      <c r="G41" s="44"/>
      <c r="H41" s="102" t="s">
        <v>214</v>
      </c>
      <c r="I41" s="103"/>
      <c r="J41" s="113" t="s">
        <v>105</v>
      </c>
      <c r="K41" s="104"/>
      <c r="L41" s="104"/>
      <c r="M41" s="103"/>
      <c r="N41" s="102" t="s">
        <v>215</v>
      </c>
      <c r="O41" s="104"/>
      <c r="P41" s="104"/>
      <c r="Q41" s="103"/>
    </row>
    <row r="42" spans="2:17" ht="30" customHeight="1">
      <c r="B42" s="42" t="s">
        <v>150</v>
      </c>
      <c r="C42" s="47" t="s">
        <v>21</v>
      </c>
      <c r="D42" s="44"/>
      <c r="E42" s="42" t="s">
        <v>107</v>
      </c>
      <c r="F42" s="49">
        <f>360*2.54/(C37*C46)*C44*C45</f>
        <v>52.608436817314008</v>
      </c>
      <c r="G42" s="44"/>
      <c r="H42" s="102" t="s">
        <v>108</v>
      </c>
      <c r="I42" s="103"/>
      <c r="J42" s="113" t="s">
        <v>216</v>
      </c>
      <c r="K42" s="104"/>
      <c r="L42" s="104"/>
      <c r="M42" s="103"/>
      <c r="N42" s="102" t="s">
        <v>217</v>
      </c>
      <c r="O42" s="104"/>
      <c r="P42" s="104"/>
      <c r="Q42" s="103"/>
    </row>
    <row r="43" spans="2:17" ht="30" customHeight="1">
      <c r="B43" s="42" t="s">
        <v>151</v>
      </c>
      <c r="C43" s="72" t="str">
        <f>INDEX($L$7:$L$20,MATCH(C42,$K$7:$K$20,0))</f>
        <v>16:10</v>
      </c>
      <c r="D43" s="44"/>
      <c r="E43" s="42" t="s">
        <v>218</v>
      </c>
      <c r="F43" s="50">
        <f>F42/F42-1</f>
        <v>0</v>
      </c>
      <c r="G43" s="44"/>
      <c r="H43" s="102" t="s">
        <v>219</v>
      </c>
      <c r="I43" s="103"/>
      <c r="J43" s="113" t="s">
        <v>220</v>
      </c>
      <c r="K43" s="104"/>
      <c r="L43" s="104"/>
      <c r="M43" s="103"/>
      <c r="N43" s="102" t="s">
        <v>221</v>
      </c>
      <c r="O43" s="104"/>
      <c r="P43" s="104"/>
      <c r="Q43" s="103"/>
    </row>
    <row r="44" spans="2:17" ht="30" customHeight="1">
      <c r="B44" s="42" t="s">
        <v>210</v>
      </c>
      <c r="C44" s="71">
        <f>IF(C43="16:9",1,IF(C43="16:10",1,IF(C43="21:9",0.85,IF(C43="4:3",1.16,1))))</f>
        <v>1</v>
      </c>
      <c r="D44" s="44"/>
      <c r="E44" s="59" t="s">
        <v>222</v>
      </c>
      <c r="F44" s="62" t="str">
        <f>F37&amp;" sensitivity "&amp;TEXT(F41,"0.00")&amp;" / "&amp;TEXT(F42,"0.00")&amp;" cm/360"</f>
        <v>CS2 sensitivity 1.98 / 52.61 cm/360</v>
      </c>
      <c r="G44" s="44"/>
      <c r="H44" s="109" t="s">
        <v>223</v>
      </c>
      <c r="I44" s="111"/>
      <c r="J44" s="128" t="s">
        <v>224</v>
      </c>
      <c r="K44" s="110"/>
      <c r="L44" s="110"/>
      <c r="M44" s="111"/>
      <c r="N44" s="109" t="s">
        <v>225</v>
      </c>
      <c r="O44" s="110"/>
      <c r="P44" s="110"/>
      <c r="Q44" s="111"/>
    </row>
    <row r="45" spans="2:17" ht="30" customHeight="1">
      <c r="B45" s="59" t="s">
        <v>214</v>
      </c>
      <c r="C45" s="73">
        <f>IF(C39=$B$52,1/0.8,(TAN(RADIANS(90/2))/TAN(RADIANS(C41/2)))^0.8)</f>
        <v>1.1506657221634735</v>
      </c>
      <c r="D45" s="44"/>
      <c r="E45" s="63" t="s">
        <v>161</v>
      </c>
      <c r="F45" s="64" t="s">
        <v>226</v>
      </c>
      <c r="G45" s="44"/>
      <c r="H45" s="129" t="s">
        <v>227</v>
      </c>
      <c r="I45" s="117"/>
      <c r="J45" s="133" t="s">
        <v>121</v>
      </c>
      <c r="K45" s="116"/>
      <c r="L45" s="116"/>
      <c r="M45" s="117"/>
      <c r="N45" s="115" t="s">
        <v>228</v>
      </c>
      <c r="O45" s="116"/>
      <c r="P45" s="116"/>
      <c r="Q45" s="117"/>
    </row>
    <row r="46" spans="2:17" ht="30" customHeight="1">
      <c r="B46" s="60" t="s">
        <v>123</v>
      </c>
      <c r="C46" s="74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35" t="s">
        <v>107</v>
      </c>
      <c r="C47" s="136"/>
      <c r="D47" s="136"/>
      <c r="E47" s="136"/>
      <c r="F47" s="136"/>
      <c r="G47" s="136"/>
      <c r="H47" s="137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9" t="s">
        <v>229</v>
      </c>
      <c r="C48" s="103"/>
      <c r="D48" s="51"/>
      <c r="E48" s="51"/>
      <c r="F48" s="51"/>
      <c r="G48" s="119"/>
      <c r="H48" s="103"/>
      <c r="I48" s="44"/>
      <c r="J48" s="51" t="s">
        <v>230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26" t="s">
        <v>231</v>
      </c>
      <c r="C49" s="103"/>
      <c r="D49" s="52" t="s">
        <v>214</v>
      </c>
      <c r="E49" s="75" t="s">
        <v>127</v>
      </c>
      <c r="F49" s="76" t="s">
        <v>107</v>
      </c>
      <c r="G49" s="126" t="s">
        <v>161</v>
      </c>
      <c r="H49" s="103"/>
      <c r="I49" s="44"/>
      <c r="J49" s="52" t="s">
        <v>195</v>
      </c>
      <c r="K49" s="75" t="s">
        <v>128</v>
      </c>
      <c r="L49" s="52" t="s">
        <v>129</v>
      </c>
      <c r="M49" s="126" t="s">
        <v>161</v>
      </c>
      <c r="N49" s="104"/>
      <c r="O49" s="104"/>
      <c r="P49" s="104"/>
      <c r="Q49" s="103"/>
    </row>
    <row r="50" spans="2:17" ht="21.95" customHeight="1">
      <c r="B50" s="102" t="s">
        <v>203</v>
      </c>
      <c r="C50" s="103"/>
      <c r="D50" s="71">
        <f>(TAN(RADIANS(90/2))/TAN(RADIANS(80/2)))^0.8</f>
        <v>1.1506657221634735</v>
      </c>
      <c r="E50" s="72">
        <f>$C$46</f>
        <v>0.05</v>
      </c>
      <c r="F50" s="49">
        <f>360*2.54/($C$37*E50)*$C$44*D50</f>
        <v>52.608436817314008</v>
      </c>
      <c r="G50" s="102" t="s">
        <v>232</v>
      </c>
      <c r="H50" s="103"/>
      <c r="I50" s="44"/>
      <c r="J50" s="53" t="s">
        <v>83</v>
      </c>
      <c r="K50" s="77">
        <v>2.1999999999999999E-2</v>
      </c>
      <c r="L50" s="43" t="s">
        <v>132</v>
      </c>
      <c r="M50" s="102" t="s">
        <v>233</v>
      </c>
      <c r="N50" s="104"/>
      <c r="O50" s="104"/>
      <c r="P50" s="104"/>
      <c r="Q50" s="103"/>
    </row>
    <row r="51" spans="2:17" ht="21.95" customHeight="1">
      <c r="B51" s="109" t="s">
        <v>234</v>
      </c>
      <c r="C51" s="111"/>
      <c r="D51" s="73">
        <f>(TAN(RADIANS(90/2))/TAN(RADIANS($C$40/2)))^0.8</f>
        <v>1</v>
      </c>
      <c r="E51" s="78">
        <f>$C$46</f>
        <v>0.05</v>
      </c>
      <c r="F51" s="54">
        <f>360*2.54/($C$37*E51)*$C$44*D51</f>
        <v>45.72</v>
      </c>
      <c r="G51" s="109" t="s">
        <v>235</v>
      </c>
      <c r="H51" s="111"/>
      <c r="I51" s="44"/>
      <c r="J51" s="57" t="s">
        <v>135</v>
      </c>
      <c r="K51" s="79">
        <v>7.0000000000000007E-2</v>
      </c>
      <c r="L51" s="58">
        <v>103</v>
      </c>
      <c r="M51" s="109" t="s">
        <v>236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237</v>
      </c>
      <c r="H52" s="117"/>
      <c r="I52" s="44"/>
      <c r="J52" s="55" t="s">
        <v>139</v>
      </c>
      <c r="K52" s="81">
        <v>6.6E-3</v>
      </c>
      <c r="L52" s="55">
        <v>103</v>
      </c>
      <c r="M52" s="115" t="s">
        <v>238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"TPP General,FPP General,ADS"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59"/>
  <sheetViews>
    <sheetView workbookViewId="0">
      <selection activeCell="Q27" sqref="Q27"/>
    </sheetView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43.5" style="2" bestFit="1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239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240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241</v>
      </c>
      <c r="C5" s="106"/>
      <c r="D5" s="3"/>
      <c r="E5" s="105" t="s">
        <v>242</v>
      </c>
      <c r="F5" s="106"/>
      <c r="G5" s="3"/>
      <c r="H5" s="97" t="s">
        <v>243</v>
      </c>
      <c r="I5" s="99"/>
      <c r="J5" s="3"/>
      <c r="K5" s="105" t="s">
        <v>244</v>
      </c>
      <c r="L5" s="106"/>
      <c r="M5" s="3"/>
      <c r="N5" s="97" t="s">
        <v>245</v>
      </c>
      <c r="O5" s="98"/>
      <c r="P5" s="98"/>
      <c r="Q5" s="99"/>
    </row>
    <row r="6" spans="2:17" ht="19.5" customHeight="1">
      <c r="B6" s="8" t="s">
        <v>246</v>
      </c>
      <c r="C6" s="9"/>
      <c r="D6" s="3"/>
      <c r="E6" s="8" t="s">
        <v>246</v>
      </c>
      <c r="F6" s="10"/>
      <c r="G6" s="3"/>
      <c r="H6" s="8" t="s">
        <v>247</v>
      </c>
      <c r="I6" s="9"/>
      <c r="J6" s="3"/>
      <c r="K6" s="11" t="s">
        <v>248</v>
      </c>
      <c r="L6" s="12" t="s">
        <v>249</v>
      </c>
      <c r="M6" s="3"/>
      <c r="N6" s="8" t="s">
        <v>246</v>
      </c>
      <c r="O6" s="124"/>
      <c r="P6" s="125"/>
      <c r="Q6" s="130"/>
    </row>
    <row r="7" spans="2:17" ht="20.25" customHeight="1">
      <c r="B7" s="13" t="s">
        <v>250</v>
      </c>
      <c r="C7" s="14"/>
      <c r="D7" s="3"/>
      <c r="E7" s="13" t="s">
        <v>251</v>
      </c>
      <c r="F7" s="15"/>
      <c r="G7" s="3"/>
      <c r="H7" s="16" t="s">
        <v>252</v>
      </c>
      <c r="I7" s="17"/>
      <c r="J7" s="3"/>
      <c r="K7" s="18" t="s">
        <v>14</v>
      </c>
      <c r="L7" s="19" t="s">
        <v>15</v>
      </c>
      <c r="M7" s="3"/>
      <c r="N7" s="13" t="s">
        <v>250</v>
      </c>
      <c r="O7" s="132"/>
      <c r="P7" s="117"/>
      <c r="Q7" s="131"/>
    </row>
    <row r="8" spans="2:17" ht="20.25" customHeight="1">
      <c r="B8" s="16" t="s">
        <v>253</v>
      </c>
      <c r="C8" s="17"/>
      <c r="D8" s="3"/>
      <c r="E8" s="16" t="s">
        <v>254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605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255</v>
      </c>
      <c r="C9" s="24">
        <f>C8-C6</f>
        <v>0</v>
      </c>
      <c r="D9" s="3"/>
      <c r="E9" s="25" t="s">
        <v>256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606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257</v>
      </c>
      <c r="C10" s="65">
        <f>10^(C9/50)</f>
        <v>1</v>
      </c>
      <c r="D10" s="3"/>
      <c r="E10" s="21" t="s">
        <v>253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244</v>
      </c>
      <c r="O10" s="66" t="s">
        <v>258</v>
      </c>
      <c r="P10" s="28" t="s">
        <v>281</v>
      </c>
      <c r="Q10" s="12" t="s">
        <v>259</v>
      </c>
    </row>
    <row r="11" spans="2:17" ht="24" customHeight="1">
      <c r="B11" s="29" t="s">
        <v>260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261</v>
      </c>
      <c r="O11" s="31">
        <f>O6</f>
        <v>0</v>
      </c>
      <c r="P11" s="67">
        <f>O7*1.11</f>
        <v>0</v>
      </c>
      <c r="Q11" s="68" t="s">
        <v>262</v>
      </c>
    </row>
    <row r="12" spans="2:17" ht="24" customHeight="1">
      <c r="B12" s="13" t="s">
        <v>263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264</v>
      </c>
      <c r="O12" s="31">
        <f>O6</f>
        <v>0</v>
      </c>
      <c r="P12" s="67">
        <f>O7/1.11</f>
        <v>0</v>
      </c>
      <c r="Q12" s="68" t="s">
        <v>265</v>
      </c>
    </row>
    <row r="13" spans="2:17" ht="24" customHeight="1">
      <c r="B13" s="16" t="s">
        <v>266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267</v>
      </c>
      <c r="O13" s="31">
        <f>O6</f>
        <v>0</v>
      </c>
      <c r="P13" s="67">
        <f>O7*0.85</f>
        <v>0</v>
      </c>
      <c r="Q13" s="68" t="s">
        <v>268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269</v>
      </c>
      <c r="O14" s="31">
        <f>O6</f>
        <v>0</v>
      </c>
      <c r="P14" s="67">
        <f>O7/0.85</f>
        <v>0</v>
      </c>
      <c r="Q14" s="68" t="s">
        <v>270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271</v>
      </c>
      <c r="O15" s="31">
        <f>O6+3</f>
        <v>3</v>
      </c>
      <c r="P15" s="67">
        <f>O7*1.166</f>
        <v>0</v>
      </c>
      <c r="Q15" s="68" t="s">
        <v>607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272</v>
      </c>
      <c r="O16" s="35">
        <f>O6-3</f>
        <v>-3</v>
      </c>
      <c r="P16" s="69">
        <f>O7/1.166</f>
        <v>0</v>
      </c>
      <c r="Q16" s="70" t="s">
        <v>608</v>
      </c>
    </row>
    <row r="17" spans="2:17">
      <c r="B17" s="3"/>
      <c r="C17" s="3"/>
      <c r="D17" s="3"/>
      <c r="E17" s="3"/>
      <c r="F17" s="3"/>
      <c r="G17" s="3"/>
      <c r="H17" s="36" t="s">
        <v>273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274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275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276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256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277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278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279</v>
      </c>
      <c r="C23" s="9"/>
      <c r="D23" s="3"/>
      <c r="E23" s="3"/>
      <c r="F23" s="3"/>
      <c r="G23" s="3"/>
      <c r="H23" s="112" t="s">
        <v>280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281</v>
      </c>
      <c r="C24" s="14"/>
      <c r="D24" s="3"/>
      <c r="E24" s="3"/>
      <c r="F24" s="3"/>
      <c r="G24" s="3"/>
      <c r="H24" s="107" t="s">
        <v>282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185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283</v>
      </c>
      <c r="C26" s="41" t="e">
        <f>B32*C24</f>
        <v>#NUM!</v>
      </c>
      <c r="D26" s="3"/>
      <c r="E26" s="3"/>
      <c r="F26" s="3"/>
      <c r="G26" s="3"/>
      <c r="H26" s="107" t="s">
        <v>284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285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286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287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288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51" t="s">
        <v>289</v>
      </c>
      <c r="C36" s="45"/>
      <c r="D36" s="44"/>
      <c r="E36" s="51" t="s">
        <v>290</v>
      </c>
      <c r="F36" s="51"/>
      <c r="G36" s="44"/>
      <c r="H36" s="119" t="s">
        <v>291</v>
      </c>
      <c r="I36" s="103"/>
      <c r="J36" s="119"/>
      <c r="K36" s="104"/>
      <c r="L36" s="104"/>
      <c r="M36" s="103"/>
      <c r="N36" s="119"/>
      <c r="O36" s="104"/>
      <c r="P36" s="104"/>
      <c r="Q36" s="103"/>
    </row>
    <row r="37" spans="2:17" ht="30" customHeight="1">
      <c r="B37" s="42" t="s">
        <v>81</v>
      </c>
      <c r="C37" s="46">
        <v>400</v>
      </c>
      <c r="D37" s="44"/>
      <c r="E37" s="42" t="s">
        <v>292</v>
      </c>
      <c r="F37" s="61" t="s">
        <v>83</v>
      </c>
      <c r="G37" s="44"/>
      <c r="H37" s="126" t="s">
        <v>293</v>
      </c>
      <c r="I37" s="103"/>
      <c r="J37" s="126" t="s">
        <v>294</v>
      </c>
      <c r="K37" s="104"/>
      <c r="L37" s="104"/>
      <c r="M37" s="103"/>
      <c r="N37" s="126" t="s">
        <v>295</v>
      </c>
      <c r="O37" s="104"/>
      <c r="P37" s="104"/>
      <c r="Q37" s="103"/>
    </row>
    <row r="38" spans="2:17" ht="30" customHeight="1">
      <c r="B38" s="42" t="s">
        <v>258</v>
      </c>
      <c r="C38" s="46">
        <v>50</v>
      </c>
      <c r="D38" s="44"/>
      <c r="E38" s="42" t="s">
        <v>296</v>
      </c>
      <c r="F38" s="46">
        <v>400</v>
      </c>
      <c r="G38" s="44"/>
      <c r="H38" s="102" t="s">
        <v>297</v>
      </c>
      <c r="I38" s="103"/>
      <c r="J38" s="113" t="s">
        <v>200</v>
      </c>
      <c r="K38" s="104"/>
      <c r="L38" s="104"/>
      <c r="M38" s="103"/>
      <c r="N38" s="102" t="s">
        <v>298</v>
      </c>
      <c r="O38" s="104"/>
      <c r="P38" s="104"/>
      <c r="Q38" s="103"/>
    </row>
    <row r="39" spans="2:17" ht="30" customHeight="1">
      <c r="B39" s="42" t="s">
        <v>299</v>
      </c>
      <c r="C39" s="46" t="s">
        <v>300</v>
      </c>
      <c r="D39" s="44"/>
      <c r="E39" s="42" t="s">
        <v>301</v>
      </c>
      <c r="F39" s="71">
        <f>VLOOKUP(F37,$J$50:$L$52,2,FALSE)</f>
        <v>2.1999999999999999E-2</v>
      </c>
      <c r="G39" s="44"/>
      <c r="H39" s="102" t="s">
        <v>302</v>
      </c>
      <c r="I39" s="103"/>
      <c r="J39" s="113" t="s">
        <v>206</v>
      </c>
      <c r="K39" s="104"/>
      <c r="L39" s="104"/>
      <c r="M39" s="103"/>
      <c r="N39" s="102" t="s">
        <v>303</v>
      </c>
      <c r="O39" s="104"/>
      <c r="P39" s="104"/>
      <c r="Q39" s="103"/>
    </row>
    <row r="40" spans="2:17" ht="30" customHeight="1">
      <c r="B40" s="42" t="s">
        <v>304</v>
      </c>
      <c r="C40" s="46">
        <v>90</v>
      </c>
      <c r="D40" s="44"/>
      <c r="E40" s="42" t="s">
        <v>305</v>
      </c>
      <c r="F40" s="49" t="str">
        <f>VLOOKUP(F37,$J$50:$L$52,3,FALSE)</f>
        <v>90 (4:3 base)</v>
      </c>
      <c r="G40" s="44"/>
      <c r="H40" s="102" t="s">
        <v>306</v>
      </c>
      <c r="I40" s="103"/>
      <c r="J40" s="113" t="s">
        <v>100</v>
      </c>
      <c r="K40" s="104"/>
      <c r="L40" s="104"/>
      <c r="M40" s="103"/>
      <c r="N40" s="102" t="s">
        <v>307</v>
      </c>
      <c r="O40" s="104"/>
      <c r="P40" s="104"/>
      <c r="Q40" s="103"/>
    </row>
    <row r="41" spans="2:17" ht="30" customHeight="1">
      <c r="B41" s="42" t="s">
        <v>308</v>
      </c>
      <c r="C41" s="48">
        <f>IF(C39=$B$50,80,IF(C39=$B$52,$C$52,C40))</f>
        <v>80</v>
      </c>
      <c r="D41" s="44"/>
      <c r="E41" s="42" t="s">
        <v>309</v>
      </c>
      <c r="F41" s="49">
        <f>360*2.54/(F38*F39*F42)</f>
        <v>1.9751411977877531</v>
      </c>
      <c r="G41" s="44"/>
      <c r="H41" s="102" t="s">
        <v>310</v>
      </c>
      <c r="I41" s="103"/>
      <c r="J41" s="113" t="s">
        <v>105</v>
      </c>
      <c r="K41" s="104"/>
      <c r="L41" s="104"/>
      <c r="M41" s="103"/>
      <c r="N41" s="102" t="s">
        <v>311</v>
      </c>
      <c r="O41" s="104"/>
      <c r="P41" s="104"/>
      <c r="Q41" s="103"/>
    </row>
    <row r="42" spans="2:17" ht="30" customHeight="1">
      <c r="B42" s="42" t="s">
        <v>248</v>
      </c>
      <c r="C42" s="47" t="s">
        <v>21</v>
      </c>
      <c r="D42" s="44"/>
      <c r="E42" s="42" t="s">
        <v>107</v>
      </c>
      <c r="F42" s="49">
        <f>360*2.54/(C37*C46)*C44*C45</f>
        <v>52.608436817314008</v>
      </c>
      <c r="G42" s="44"/>
      <c r="H42" s="102" t="s">
        <v>108</v>
      </c>
      <c r="I42" s="103"/>
      <c r="J42" s="113" t="s">
        <v>312</v>
      </c>
      <c r="K42" s="104"/>
      <c r="L42" s="104"/>
      <c r="M42" s="103"/>
      <c r="N42" s="102" t="s">
        <v>313</v>
      </c>
      <c r="O42" s="104"/>
      <c r="P42" s="104"/>
      <c r="Q42" s="103"/>
    </row>
    <row r="43" spans="2:17" ht="30" customHeight="1">
      <c r="B43" s="42" t="s">
        <v>249</v>
      </c>
      <c r="C43" s="72" t="str">
        <f>INDEX($L$7:$L$20,MATCH(C42,$K$7:$K$20,0))</f>
        <v>16:10</v>
      </c>
      <c r="D43" s="44"/>
      <c r="E43" s="42" t="s">
        <v>314</v>
      </c>
      <c r="F43" s="50">
        <f>F42/F42-1</f>
        <v>0</v>
      </c>
      <c r="G43" s="44"/>
      <c r="H43" s="102" t="s">
        <v>315</v>
      </c>
      <c r="I43" s="103"/>
      <c r="J43" s="113" t="s">
        <v>316</v>
      </c>
      <c r="K43" s="104"/>
      <c r="L43" s="104"/>
      <c r="M43" s="103"/>
      <c r="N43" s="102" t="s">
        <v>317</v>
      </c>
      <c r="O43" s="104"/>
      <c r="P43" s="104"/>
      <c r="Q43" s="103"/>
    </row>
    <row r="44" spans="2:17" ht="30" customHeight="1">
      <c r="B44" s="42" t="s">
        <v>306</v>
      </c>
      <c r="C44" s="71">
        <f>IF(C43="16:9",1,IF(C43="16:10",1,IF(C43="21:9",0.85,IF(C43="4:3",1.16,1))))</f>
        <v>1</v>
      </c>
      <c r="D44" s="44"/>
      <c r="E44" s="59" t="s">
        <v>318</v>
      </c>
      <c r="F44" s="62" t="str">
        <f>F37&amp;" 感度 "&amp;TEXT(F41,"0.00")&amp;" / "&amp;TEXT(F42,"0.00")&amp;" cm/360"</f>
        <v>CS2 感度 1.98 / 52.61 cm/360</v>
      </c>
      <c r="G44" s="44"/>
      <c r="H44" s="109" t="s">
        <v>319</v>
      </c>
      <c r="I44" s="111"/>
      <c r="J44" s="128" t="s">
        <v>320</v>
      </c>
      <c r="K44" s="110"/>
      <c r="L44" s="110"/>
      <c r="M44" s="111"/>
      <c r="N44" s="109" t="s">
        <v>321</v>
      </c>
      <c r="O44" s="110"/>
      <c r="P44" s="110"/>
      <c r="Q44" s="111"/>
    </row>
    <row r="45" spans="2:17" ht="30" customHeight="1">
      <c r="B45" s="59" t="s">
        <v>310</v>
      </c>
      <c r="C45" s="73">
        <f>IF(C39=$B$52,1/0.8,(TAN(RADIANS(90/2))/TAN(RADIANS(C41/2)))^0.8)</f>
        <v>1.1506657221634735</v>
      </c>
      <c r="D45" s="44"/>
      <c r="E45" s="63" t="s">
        <v>259</v>
      </c>
      <c r="F45" s="64" t="s">
        <v>322</v>
      </c>
      <c r="G45" s="44"/>
      <c r="H45" s="129" t="s">
        <v>323</v>
      </c>
      <c r="I45" s="117"/>
      <c r="J45" s="133" t="s">
        <v>324</v>
      </c>
      <c r="K45" s="116"/>
      <c r="L45" s="116"/>
      <c r="M45" s="117"/>
      <c r="N45" s="115" t="s">
        <v>325</v>
      </c>
      <c r="O45" s="116"/>
      <c r="P45" s="116"/>
      <c r="Q45" s="117"/>
    </row>
    <row r="46" spans="2:17" ht="30" customHeight="1">
      <c r="B46" s="60" t="s">
        <v>123</v>
      </c>
      <c r="C46" s="74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35" t="s">
        <v>107</v>
      </c>
      <c r="C47" s="136"/>
      <c r="D47" s="136"/>
      <c r="E47" s="136"/>
      <c r="F47" s="136"/>
      <c r="G47" s="136"/>
      <c r="H47" s="137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9" t="s">
        <v>326</v>
      </c>
      <c r="C48" s="103"/>
      <c r="D48" s="51"/>
      <c r="E48" s="51"/>
      <c r="F48" s="51"/>
      <c r="G48" s="119"/>
      <c r="H48" s="103"/>
      <c r="I48" s="44"/>
      <c r="J48" s="51" t="s">
        <v>327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26" t="s">
        <v>328</v>
      </c>
      <c r="C49" s="103"/>
      <c r="D49" s="52" t="s">
        <v>310</v>
      </c>
      <c r="E49" s="75" t="s">
        <v>127</v>
      </c>
      <c r="F49" s="76" t="s">
        <v>107</v>
      </c>
      <c r="G49" s="126" t="s">
        <v>259</v>
      </c>
      <c r="H49" s="103"/>
      <c r="I49" s="44"/>
      <c r="J49" s="52" t="s">
        <v>292</v>
      </c>
      <c r="K49" s="75" t="s">
        <v>128</v>
      </c>
      <c r="L49" s="52" t="s">
        <v>129</v>
      </c>
      <c r="M49" s="126" t="s">
        <v>259</v>
      </c>
      <c r="N49" s="104"/>
      <c r="O49" s="104"/>
      <c r="P49" s="104"/>
      <c r="Q49" s="103"/>
    </row>
    <row r="50" spans="2:17" ht="21.95" customHeight="1">
      <c r="B50" s="102" t="s">
        <v>300</v>
      </c>
      <c r="C50" s="103"/>
      <c r="D50" s="71">
        <f>(TAN(RADIANS(90/2))/TAN(RADIANS(80/2)))^0.8</f>
        <v>1.1506657221634735</v>
      </c>
      <c r="E50" s="72">
        <f>$C$46</f>
        <v>0.05</v>
      </c>
      <c r="F50" s="49">
        <f>360*2.54/($C$37*E50)*$C$44*D50</f>
        <v>52.608436817314008</v>
      </c>
      <c r="G50" s="102" t="s">
        <v>329</v>
      </c>
      <c r="H50" s="103"/>
      <c r="I50" s="44"/>
      <c r="J50" s="53" t="s">
        <v>83</v>
      </c>
      <c r="K50" s="77">
        <v>2.1999999999999999E-2</v>
      </c>
      <c r="L50" s="43" t="s">
        <v>132</v>
      </c>
      <c r="M50" s="102" t="s">
        <v>330</v>
      </c>
      <c r="N50" s="104"/>
      <c r="O50" s="104"/>
      <c r="P50" s="104"/>
      <c r="Q50" s="103"/>
    </row>
    <row r="51" spans="2:17" ht="21.95" customHeight="1">
      <c r="B51" s="109" t="s">
        <v>331</v>
      </c>
      <c r="C51" s="111"/>
      <c r="D51" s="73">
        <f>(TAN(RADIANS(90/2))/TAN(RADIANS($C$40/2)))^0.8</f>
        <v>1</v>
      </c>
      <c r="E51" s="78">
        <f>$C$46</f>
        <v>0.05</v>
      </c>
      <c r="F51" s="54">
        <f>360*2.54/($C$37*E51)*$C$44*D51</f>
        <v>45.72</v>
      </c>
      <c r="G51" s="109" t="s">
        <v>332</v>
      </c>
      <c r="H51" s="111"/>
      <c r="I51" s="44"/>
      <c r="J51" s="57" t="s">
        <v>135</v>
      </c>
      <c r="K51" s="79">
        <v>7.0000000000000007E-2</v>
      </c>
      <c r="L51" s="58">
        <v>103</v>
      </c>
      <c r="M51" s="109" t="s">
        <v>333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334</v>
      </c>
      <c r="H52" s="117"/>
      <c r="I52" s="44"/>
      <c r="J52" s="55" t="s">
        <v>139</v>
      </c>
      <c r="K52" s="81">
        <v>6.6E-3</v>
      </c>
      <c r="L52" s="55">
        <v>103</v>
      </c>
      <c r="M52" s="115" t="s">
        <v>335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"TPP 一般,FPP 一般,ADS"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Q59"/>
  <sheetViews>
    <sheetView workbookViewId="0"/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41.625" style="2" bestFit="1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336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337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338</v>
      </c>
      <c r="C5" s="106"/>
      <c r="D5" s="3"/>
      <c r="E5" s="105" t="s">
        <v>339</v>
      </c>
      <c r="F5" s="106"/>
      <c r="G5" s="3"/>
      <c r="H5" s="97" t="s">
        <v>340</v>
      </c>
      <c r="I5" s="99"/>
      <c r="J5" s="3"/>
      <c r="K5" s="105" t="s">
        <v>341</v>
      </c>
      <c r="L5" s="106"/>
      <c r="M5" s="3"/>
      <c r="N5" s="97" t="s">
        <v>342</v>
      </c>
      <c r="O5" s="98"/>
      <c r="P5" s="98"/>
      <c r="Q5" s="99"/>
    </row>
    <row r="6" spans="2:17" ht="19.5" customHeight="1">
      <c r="B6" s="8" t="s">
        <v>343</v>
      </c>
      <c r="C6" s="9"/>
      <c r="D6" s="3"/>
      <c r="E6" s="8" t="s">
        <v>343</v>
      </c>
      <c r="F6" s="10"/>
      <c r="G6" s="3"/>
      <c r="H6" s="8" t="s">
        <v>344</v>
      </c>
      <c r="I6" s="9"/>
      <c r="J6" s="3"/>
      <c r="K6" s="11" t="s">
        <v>345</v>
      </c>
      <c r="L6" s="12" t="s">
        <v>346</v>
      </c>
      <c r="M6" s="3"/>
      <c r="N6" s="8" t="s">
        <v>343</v>
      </c>
      <c r="O6" s="124"/>
      <c r="P6" s="125"/>
      <c r="Q6" s="130"/>
    </row>
    <row r="7" spans="2:17" ht="20.25" customHeight="1">
      <c r="B7" s="13" t="s">
        <v>347</v>
      </c>
      <c r="C7" s="14"/>
      <c r="D7" s="3"/>
      <c r="E7" s="13" t="s">
        <v>348</v>
      </c>
      <c r="F7" s="15"/>
      <c r="G7" s="3"/>
      <c r="H7" s="16" t="s">
        <v>349</v>
      </c>
      <c r="I7" s="17"/>
      <c r="J7" s="3"/>
      <c r="K7" s="18" t="s">
        <v>14</v>
      </c>
      <c r="L7" s="19" t="s">
        <v>15</v>
      </c>
      <c r="M7" s="3"/>
      <c r="N7" s="13" t="s">
        <v>347</v>
      </c>
      <c r="O7" s="132"/>
      <c r="P7" s="117"/>
      <c r="Q7" s="131"/>
    </row>
    <row r="8" spans="2:17" ht="20.25" customHeight="1">
      <c r="B8" s="16" t="s">
        <v>350</v>
      </c>
      <c r="C8" s="17"/>
      <c r="D8" s="3"/>
      <c r="E8" s="16" t="s">
        <v>351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609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352</v>
      </c>
      <c r="C9" s="24">
        <f>C8-C6</f>
        <v>0</v>
      </c>
      <c r="D9" s="3"/>
      <c r="E9" s="25" t="s">
        <v>353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610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354</v>
      </c>
      <c r="C10" s="65">
        <f>10^(C9/50)</f>
        <v>1</v>
      </c>
      <c r="D10" s="3"/>
      <c r="E10" s="21" t="s">
        <v>350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341</v>
      </c>
      <c r="O10" s="66" t="s">
        <v>355</v>
      </c>
      <c r="P10" s="28" t="s">
        <v>281</v>
      </c>
      <c r="Q10" s="12" t="s">
        <v>356</v>
      </c>
    </row>
    <row r="11" spans="2:17" ht="24" customHeight="1">
      <c r="B11" s="29" t="s">
        <v>357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358</v>
      </c>
      <c r="O11" s="31">
        <f>O6</f>
        <v>0</v>
      </c>
      <c r="P11" s="67">
        <f>O7*1.11</f>
        <v>0</v>
      </c>
      <c r="Q11" s="68" t="s">
        <v>359</v>
      </c>
    </row>
    <row r="12" spans="2:17" ht="24" customHeight="1">
      <c r="B12" s="13" t="s">
        <v>360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361</v>
      </c>
      <c r="O12" s="31">
        <f>O6</f>
        <v>0</v>
      </c>
      <c r="P12" s="67">
        <f>O7/1.11</f>
        <v>0</v>
      </c>
      <c r="Q12" s="68" t="s">
        <v>362</v>
      </c>
    </row>
    <row r="13" spans="2:17" ht="24" customHeight="1">
      <c r="B13" s="16" t="s">
        <v>363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364</v>
      </c>
      <c r="O13" s="31">
        <f>O6</f>
        <v>0</v>
      </c>
      <c r="P13" s="67">
        <f>O7*0.85</f>
        <v>0</v>
      </c>
      <c r="Q13" s="68" t="s">
        <v>365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366</v>
      </c>
      <c r="O14" s="31">
        <f>O6</f>
        <v>0</v>
      </c>
      <c r="P14" s="67">
        <f>O7/0.85</f>
        <v>0</v>
      </c>
      <c r="Q14" s="68" t="s">
        <v>367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368</v>
      </c>
      <c r="O15" s="31">
        <f>O6+3</f>
        <v>3</v>
      </c>
      <c r="P15" s="67">
        <f>O7*1.166</f>
        <v>0</v>
      </c>
      <c r="Q15" s="68" t="s">
        <v>611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369</v>
      </c>
      <c r="O16" s="35">
        <f>O6-3</f>
        <v>-3</v>
      </c>
      <c r="P16" s="69">
        <f>O7/1.166</f>
        <v>0</v>
      </c>
      <c r="Q16" s="70" t="s">
        <v>612</v>
      </c>
    </row>
    <row r="17" spans="2:17">
      <c r="B17" s="3"/>
      <c r="C17" s="3"/>
      <c r="D17" s="3"/>
      <c r="E17" s="3"/>
      <c r="F17" s="3"/>
      <c r="G17" s="3"/>
      <c r="H17" s="36" t="s">
        <v>370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371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372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373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353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374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375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376</v>
      </c>
      <c r="C23" s="9"/>
      <c r="D23" s="3"/>
      <c r="E23" s="3"/>
      <c r="F23" s="3"/>
      <c r="G23" s="3"/>
      <c r="H23" s="112" t="s">
        <v>377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281</v>
      </c>
      <c r="C24" s="14"/>
      <c r="D24" s="3"/>
      <c r="E24" s="3"/>
      <c r="F24" s="3"/>
      <c r="G24" s="3"/>
      <c r="H24" s="107" t="s">
        <v>378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185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379</v>
      </c>
      <c r="C26" s="41" t="e">
        <f>B32*C24</f>
        <v>#NUM!</v>
      </c>
      <c r="D26" s="3"/>
      <c r="E26" s="3"/>
      <c r="F26" s="3"/>
      <c r="G26" s="3"/>
      <c r="H26" s="107" t="s">
        <v>380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381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382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383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384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51" t="s">
        <v>385</v>
      </c>
      <c r="C36" s="45"/>
      <c r="D36" s="44"/>
      <c r="E36" s="51" t="s">
        <v>386</v>
      </c>
      <c r="F36" s="51"/>
      <c r="G36" s="44"/>
      <c r="H36" s="119" t="s">
        <v>387</v>
      </c>
      <c r="I36" s="103"/>
      <c r="J36" s="119"/>
      <c r="K36" s="104"/>
      <c r="L36" s="104"/>
      <c r="M36" s="103"/>
      <c r="N36" s="119"/>
      <c r="O36" s="104"/>
      <c r="P36" s="104"/>
      <c r="Q36" s="103"/>
    </row>
    <row r="37" spans="2:17" ht="30" customHeight="1">
      <c r="B37" s="42" t="s">
        <v>81</v>
      </c>
      <c r="C37" s="46">
        <v>400</v>
      </c>
      <c r="D37" s="44"/>
      <c r="E37" s="42" t="s">
        <v>388</v>
      </c>
      <c r="F37" s="61" t="s">
        <v>83</v>
      </c>
      <c r="G37" s="44"/>
      <c r="H37" s="126" t="s">
        <v>389</v>
      </c>
      <c r="I37" s="103"/>
      <c r="J37" s="126" t="s">
        <v>390</v>
      </c>
      <c r="K37" s="104"/>
      <c r="L37" s="104"/>
      <c r="M37" s="103"/>
      <c r="N37" s="126" t="s">
        <v>391</v>
      </c>
      <c r="O37" s="104"/>
      <c r="P37" s="104"/>
      <c r="Q37" s="103"/>
    </row>
    <row r="38" spans="2:17" ht="30" customHeight="1">
      <c r="B38" s="42" t="s">
        <v>355</v>
      </c>
      <c r="C38" s="46">
        <v>50</v>
      </c>
      <c r="D38" s="44"/>
      <c r="E38" s="42" t="s">
        <v>351</v>
      </c>
      <c r="F38" s="46">
        <v>400</v>
      </c>
      <c r="G38" s="44"/>
      <c r="H38" s="102" t="s">
        <v>392</v>
      </c>
      <c r="I38" s="103"/>
      <c r="J38" s="113" t="s">
        <v>200</v>
      </c>
      <c r="K38" s="104"/>
      <c r="L38" s="104"/>
      <c r="M38" s="103"/>
      <c r="N38" s="102" t="s">
        <v>393</v>
      </c>
      <c r="O38" s="104"/>
      <c r="P38" s="104"/>
      <c r="Q38" s="103"/>
    </row>
    <row r="39" spans="2:17" ht="30" customHeight="1">
      <c r="B39" s="42" t="s">
        <v>394</v>
      </c>
      <c r="C39" s="46" t="s">
        <v>395</v>
      </c>
      <c r="D39" s="44"/>
      <c r="E39" s="42" t="s">
        <v>396</v>
      </c>
      <c r="F39" s="71">
        <f>VLOOKUP(F37,$J$50:$L$52,2,FALSE)</f>
        <v>2.1999999999999999E-2</v>
      </c>
      <c r="G39" s="44"/>
      <c r="H39" s="102" t="s">
        <v>397</v>
      </c>
      <c r="I39" s="103"/>
      <c r="J39" s="113" t="s">
        <v>206</v>
      </c>
      <c r="K39" s="104"/>
      <c r="L39" s="104"/>
      <c r="M39" s="103"/>
      <c r="N39" s="102" t="s">
        <v>398</v>
      </c>
      <c r="O39" s="104"/>
      <c r="P39" s="104"/>
      <c r="Q39" s="103"/>
    </row>
    <row r="40" spans="2:17" ht="30" customHeight="1">
      <c r="B40" s="42" t="s">
        <v>399</v>
      </c>
      <c r="C40" s="46">
        <v>90</v>
      </c>
      <c r="D40" s="44"/>
      <c r="E40" s="42" t="s">
        <v>400</v>
      </c>
      <c r="F40" s="49" t="str">
        <f>VLOOKUP(F37,$J$50:$L$52,3,FALSE)</f>
        <v>90 (4:3 base)</v>
      </c>
      <c r="G40" s="44"/>
      <c r="H40" s="102" t="s">
        <v>401</v>
      </c>
      <c r="I40" s="103"/>
      <c r="J40" s="113" t="s">
        <v>100</v>
      </c>
      <c r="K40" s="104"/>
      <c r="L40" s="104"/>
      <c r="M40" s="103"/>
      <c r="N40" s="102" t="s">
        <v>402</v>
      </c>
      <c r="O40" s="104"/>
      <c r="P40" s="104"/>
      <c r="Q40" s="103"/>
    </row>
    <row r="41" spans="2:17" ht="30" customHeight="1">
      <c r="B41" s="42" t="s">
        <v>403</v>
      </c>
      <c r="C41" s="48">
        <f>IF(C39=$B$50,80,IF(C39=$B$52,$C$52,C40))</f>
        <v>80</v>
      </c>
      <c r="D41" s="44"/>
      <c r="E41" s="42" t="s">
        <v>404</v>
      </c>
      <c r="F41" s="49">
        <f>360*2.54/(F38*F39*F42)</f>
        <v>1.9751411977877531</v>
      </c>
      <c r="G41" s="44"/>
      <c r="H41" s="102" t="s">
        <v>405</v>
      </c>
      <c r="I41" s="103"/>
      <c r="J41" s="113" t="s">
        <v>105</v>
      </c>
      <c r="K41" s="104"/>
      <c r="L41" s="104"/>
      <c r="M41" s="103"/>
      <c r="N41" s="102" t="s">
        <v>406</v>
      </c>
      <c r="O41" s="104"/>
      <c r="P41" s="104"/>
      <c r="Q41" s="103"/>
    </row>
    <row r="42" spans="2:17" ht="30" customHeight="1">
      <c r="B42" s="42" t="s">
        <v>345</v>
      </c>
      <c r="C42" s="47" t="s">
        <v>21</v>
      </c>
      <c r="D42" s="44"/>
      <c r="E42" s="42" t="s">
        <v>107</v>
      </c>
      <c r="F42" s="49">
        <f>360*2.54/(C37*C46)*C44*C45</f>
        <v>52.608436817314008</v>
      </c>
      <c r="G42" s="44"/>
      <c r="H42" s="102" t="s">
        <v>108</v>
      </c>
      <c r="I42" s="103"/>
      <c r="J42" s="113" t="s">
        <v>407</v>
      </c>
      <c r="K42" s="104"/>
      <c r="L42" s="104"/>
      <c r="M42" s="103"/>
      <c r="N42" s="102" t="s">
        <v>408</v>
      </c>
      <c r="O42" s="104"/>
      <c r="P42" s="104"/>
      <c r="Q42" s="103"/>
    </row>
    <row r="43" spans="2:17" ht="30" customHeight="1">
      <c r="B43" s="42" t="s">
        <v>346</v>
      </c>
      <c r="C43" s="72" t="str">
        <f>INDEX($L$7:$L$20,MATCH(C42,$K$7:$K$20,0))</f>
        <v>16:10</v>
      </c>
      <c r="D43" s="44"/>
      <c r="E43" s="42" t="s">
        <v>409</v>
      </c>
      <c r="F43" s="50">
        <f>F42/F42-1</f>
        <v>0</v>
      </c>
      <c r="G43" s="44"/>
      <c r="H43" s="102" t="s">
        <v>410</v>
      </c>
      <c r="I43" s="103"/>
      <c r="J43" s="113" t="s">
        <v>411</v>
      </c>
      <c r="K43" s="104"/>
      <c r="L43" s="104"/>
      <c r="M43" s="103"/>
      <c r="N43" s="102" t="s">
        <v>412</v>
      </c>
      <c r="O43" s="104"/>
      <c r="P43" s="104"/>
      <c r="Q43" s="103"/>
    </row>
    <row r="44" spans="2:17" ht="30" customHeight="1">
      <c r="B44" s="42" t="s">
        <v>401</v>
      </c>
      <c r="C44" s="71">
        <f>IF(C43="16:9",1,IF(C43="16:10",1,IF(C43="21:9",0.85,IF(C43="4:3",1.16,1))))</f>
        <v>1</v>
      </c>
      <c r="D44" s="44"/>
      <c r="E44" s="59" t="s">
        <v>413</v>
      </c>
      <c r="F44" s="62" t="str">
        <f>F37&amp;" 灵敏度 "&amp;TEXT(F41,"0.00")&amp;" / "&amp;TEXT(F42,"0.00")&amp;" cm/360"</f>
        <v>CS2 灵敏度 1.98 / 52.61 cm/360</v>
      </c>
      <c r="G44" s="44"/>
      <c r="H44" s="109" t="s">
        <v>319</v>
      </c>
      <c r="I44" s="111"/>
      <c r="J44" s="128" t="s">
        <v>414</v>
      </c>
      <c r="K44" s="110"/>
      <c r="L44" s="110"/>
      <c r="M44" s="111"/>
      <c r="N44" s="109" t="s">
        <v>415</v>
      </c>
      <c r="O44" s="110"/>
      <c r="P44" s="110"/>
      <c r="Q44" s="111"/>
    </row>
    <row r="45" spans="2:17" ht="30" customHeight="1">
      <c r="B45" s="59" t="s">
        <v>405</v>
      </c>
      <c r="C45" s="73">
        <f>IF(C39=$B$52,1/0.8,(TAN(RADIANS(90/2))/TAN(RADIANS(C41/2)))^0.8)</f>
        <v>1.1506657221634735</v>
      </c>
      <c r="D45" s="44"/>
      <c r="E45" s="63" t="s">
        <v>356</v>
      </c>
      <c r="F45" s="64" t="s">
        <v>416</v>
      </c>
      <c r="G45" s="44"/>
      <c r="H45" s="129" t="s">
        <v>417</v>
      </c>
      <c r="I45" s="117"/>
      <c r="J45" s="133" t="s">
        <v>418</v>
      </c>
      <c r="K45" s="116"/>
      <c r="L45" s="116"/>
      <c r="M45" s="117"/>
      <c r="N45" s="115" t="s">
        <v>419</v>
      </c>
      <c r="O45" s="116"/>
      <c r="P45" s="116"/>
      <c r="Q45" s="117"/>
    </row>
    <row r="46" spans="2:17" ht="30" customHeight="1">
      <c r="B46" s="60" t="s">
        <v>123</v>
      </c>
      <c r="C46" s="74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35" t="s">
        <v>107</v>
      </c>
      <c r="C47" s="136"/>
      <c r="D47" s="136"/>
      <c r="E47" s="136"/>
      <c r="F47" s="136"/>
      <c r="G47" s="136"/>
      <c r="H47" s="137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9" t="s">
        <v>420</v>
      </c>
      <c r="C48" s="103"/>
      <c r="D48" s="51"/>
      <c r="E48" s="51"/>
      <c r="F48" s="51"/>
      <c r="G48" s="119"/>
      <c r="H48" s="103"/>
      <c r="I48" s="44"/>
      <c r="J48" s="51" t="s">
        <v>421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26" t="s">
        <v>422</v>
      </c>
      <c r="C49" s="103"/>
      <c r="D49" s="52" t="s">
        <v>405</v>
      </c>
      <c r="E49" s="75" t="s">
        <v>127</v>
      </c>
      <c r="F49" s="76" t="s">
        <v>107</v>
      </c>
      <c r="G49" s="126" t="s">
        <v>356</v>
      </c>
      <c r="H49" s="103"/>
      <c r="I49" s="44"/>
      <c r="J49" s="52" t="s">
        <v>388</v>
      </c>
      <c r="K49" s="75" t="s">
        <v>128</v>
      </c>
      <c r="L49" s="52" t="s">
        <v>129</v>
      </c>
      <c r="M49" s="126" t="s">
        <v>356</v>
      </c>
      <c r="N49" s="104"/>
      <c r="O49" s="104"/>
      <c r="P49" s="104"/>
      <c r="Q49" s="103"/>
    </row>
    <row r="50" spans="2:17" ht="21.95" customHeight="1">
      <c r="B50" s="102" t="s">
        <v>395</v>
      </c>
      <c r="C50" s="103"/>
      <c r="D50" s="71">
        <f>(TAN(RADIANS(90/2))/TAN(RADIANS(80/2)))^0.8</f>
        <v>1.1506657221634735</v>
      </c>
      <c r="E50" s="72">
        <f>$C$46</f>
        <v>0.05</v>
      </c>
      <c r="F50" s="49">
        <f>360*2.54/($C$37*E50)*$C$44*D50</f>
        <v>52.608436817314008</v>
      </c>
      <c r="G50" s="102" t="s">
        <v>423</v>
      </c>
      <c r="H50" s="103"/>
      <c r="I50" s="44"/>
      <c r="J50" s="53" t="s">
        <v>83</v>
      </c>
      <c r="K50" s="77">
        <v>2.1999999999999999E-2</v>
      </c>
      <c r="L50" s="43" t="s">
        <v>132</v>
      </c>
      <c r="M50" s="102" t="s">
        <v>424</v>
      </c>
      <c r="N50" s="104"/>
      <c r="O50" s="104"/>
      <c r="P50" s="104"/>
      <c r="Q50" s="103"/>
    </row>
    <row r="51" spans="2:17" ht="21.95" customHeight="1">
      <c r="B51" s="109" t="s">
        <v>425</v>
      </c>
      <c r="C51" s="111"/>
      <c r="D51" s="73">
        <f>(TAN(RADIANS(90/2))/TAN(RADIANS($C$40/2)))^0.8</f>
        <v>1</v>
      </c>
      <c r="E51" s="78">
        <f>$C$46</f>
        <v>0.05</v>
      </c>
      <c r="F51" s="54">
        <f>360*2.54/($C$37*E51)*$C$44*D51</f>
        <v>45.72</v>
      </c>
      <c r="G51" s="109" t="s">
        <v>426</v>
      </c>
      <c r="H51" s="111"/>
      <c r="I51" s="44"/>
      <c r="J51" s="57" t="s">
        <v>135</v>
      </c>
      <c r="K51" s="79">
        <v>7.0000000000000007E-2</v>
      </c>
      <c r="L51" s="58">
        <v>103</v>
      </c>
      <c r="M51" s="109" t="s">
        <v>427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428</v>
      </c>
      <c r="H52" s="117"/>
      <c r="I52" s="44"/>
      <c r="J52" s="55" t="s">
        <v>139</v>
      </c>
      <c r="K52" s="81">
        <v>6.6E-3</v>
      </c>
      <c r="L52" s="55">
        <v>103</v>
      </c>
      <c r="M52" s="115" t="s">
        <v>429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"TPP 普通,FPP 普通,ADS"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Q59"/>
  <sheetViews>
    <sheetView topLeftCell="D1" workbookViewId="0"/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41.125" style="2" bestFit="1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430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240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431</v>
      </c>
      <c r="C5" s="106"/>
      <c r="D5" s="3"/>
      <c r="E5" s="105" t="s">
        <v>432</v>
      </c>
      <c r="F5" s="106"/>
      <c r="G5" s="3"/>
      <c r="H5" s="97" t="s">
        <v>433</v>
      </c>
      <c r="I5" s="99"/>
      <c r="J5" s="3"/>
      <c r="K5" s="105" t="s">
        <v>434</v>
      </c>
      <c r="L5" s="106"/>
      <c r="M5" s="3"/>
      <c r="N5" s="97" t="s">
        <v>435</v>
      </c>
      <c r="O5" s="98"/>
      <c r="P5" s="98"/>
      <c r="Q5" s="99"/>
    </row>
    <row r="6" spans="2:17" ht="19.5" customHeight="1">
      <c r="B6" s="8" t="s">
        <v>436</v>
      </c>
      <c r="C6" s="9"/>
      <c r="D6" s="3"/>
      <c r="E6" s="8" t="s">
        <v>436</v>
      </c>
      <c r="F6" s="10"/>
      <c r="G6" s="3"/>
      <c r="H6" s="8" t="s">
        <v>344</v>
      </c>
      <c r="I6" s="9"/>
      <c r="J6" s="3"/>
      <c r="K6" s="11" t="s">
        <v>437</v>
      </c>
      <c r="L6" s="12" t="s">
        <v>438</v>
      </c>
      <c r="M6" s="3"/>
      <c r="N6" s="8" t="s">
        <v>436</v>
      </c>
      <c r="O6" s="124"/>
      <c r="P6" s="125"/>
      <c r="Q6" s="130"/>
    </row>
    <row r="7" spans="2:17" ht="20.25" customHeight="1">
      <c r="B7" s="13" t="s">
        <v>439</v>
      </c>
      <c r="C7" s="14"/>
      <c r="D7" s="3"/>
      <c r="E7" s="13" t="s">
        <v>440</v>
      </c>
      <c r="F7" s="15"/>
      <c r="G7" s="3"/>
      <c r="H7" s="16" t="s">
        <v>441</v>
      </c>
      <c r="I7" s="17"/>
      <c r="J7" s="3"/>
      <c r="K7" s="18" t="s">
        <v>14</v>
      </c>
      <c r="L7" s="19" t="s">
        <v>15</v>
      </c>
      <c r="M7" s="3"/>
      <c r="N7" s="13" t="s">
        <v>439</v>
      </c>
      <c r="O7" s="132"/>
      <c r="P7" s="117"/>
      <c r="Q7" s="131"/>
    </row>
    <row r="8" spans="2:17" ht="20.25" customHeight="1">
      <c r="B8" s="16" t="s">
        <v>442</v>
      </c>
      <c r="C8" s="17"/>
      <c r="D8" s="3"/>
      <c r="E8" s="16" t="s">
        <v>254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613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443</v>
      </c>
      <c r="C9" s="24">
        <f>C8-C6</f>
        <v>0</v>
      </c>
      <c r="D9" s="3"/>
      <c r="E9" s="25" t="s">
        <v>353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614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444</v>
      </c>
      <c r="C10" s="65">
        <f>10^(C9/50)</f>
        <v>1</v>
      </c>
      <c r="D10" s="3"/>
      <c r="E10" s="21" t="s">
        <v>442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434</v>
      </c>
      <c r="O10" s="66" t="s">
        <v>445</v>
      </c>
      <c r="P10" s="28" t="s">
        <v>281</v>
      </c>
      <c r="Q10" s="12" t="s">
        <v>446</v>
      </c>
    </row>
    <row r="11" spans="2:17" ht="24" customHeight="1">
      <c r="B11" s="29" t="s">
        <v>260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447</v>
      </c>
      <c r="O11" s="31">
        <f>O6</f>
        <v>0</v>
      </c>
      <c r="P11" s="67">
        <f>O7*1.11</f>
        <v>0</v>
      </c>
      <c r="Q11" s="68" t="s">
        <v>448</v>
      </c>
    </row>
    <row r="12" spans="2:17" ht="24" customHeight="1">
      <c r="B12" s="13" t="s">
        <v>263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449</v>
      </c>
      <c r="O12" s="31">
        <f>O6</f>
        <v>0</v>
      </c>
      <c r="P12" s="67">
        <f>O7/1.11</f>
        <v>0</v>
      </c>
      <c r="Q12" s="68" t="s">
        <v>450</v>
      </c>
    </row>
    <row r="13" spans="2:17" ht="24" customHeight="1">
      <c r="B13" s="16" t="s">
        <v>451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452</v>
      </c>
      <c r="O13" s="31">
        <f>O6</f>
        <v>0</v>
      </c>
      <c r="P13" s="67">
        <f>O7*0.85</f>
        <v>0</v>
      </c>
      <c r="Q13" s="68" t="s">
        <v>453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454</v>
      </c>
      <c r="O14" s="31">
        <f>O6</f>
        <v>0</v>
      </c>
      <c r="P14" s="67">
        <f>O7/0.85</f>
        <v>0</v>
      </c>
      <c r="Q14" s="68" t="s">
        <v>455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456</v>
      </c>
      <c r="O15" s="31">
        <f>O6+3</f>
        <v>3</v>
      </c>
      <c r="P15" s="67">
        <f>O7*1.166</f>
        <v>0</v>
      </c>
      <c r="Q15" s="68" t="s">
        <v>615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457</v>
      </c>
      <c r="O16" s="35">
        <f>O6-3</f>
        <v>-3</v>
      </c>
      <c r="P16" s="69">
        <f>O7/1.166</f>
        <v>0</v>
      </c>
      <c r="Q16" s="70" t="s">
        <v>616</v>
      </c>
    </row>
    <row r="17" spans="2:17">
      <c r="B17" s="3"/>
      <c r="C17" s="3"/>
      <c r="D17" s="3"/>
      <c r="E17" s="3"/>
      <c r="F17" s="3"/>
      <c r="G17" s="3"/>
      <c r="H17" s="36" t="s">
        <v>458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459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460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461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353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462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463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464</v>
      </c>
      <c r="C23" s="9"/>
      <c r="D23" s="3"/>
      <c r="E23" s="3"/>
      <c r="F23" s="3"/>
      <c r="G23" s="3"/>
      <c r="H23" s="112" t="s">
        <v>465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281</v>
      </c>
      <c r="C24" s="14"/>
      <c r="D24" s="3"/>
      <c r="E24" s="3"/>
      <c r="F24" s="3"/>
      <c r="G24" s="3"/>
      <c r="H24" s="107" t="s">
        <v>466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185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379</v>
      </c>
      <c r="C26" s="41" t="e">
        <f>B32*C24</f>
        <v>#NUM!</v>
      </c>
      <c r="D26" s="3"/>
      <c r="E26" s="3"/>
      <c r="F26" s="3"/>
      <c r="G26" s="3"/>
      <c r="H26" s="107" t="s">
        <v>467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468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469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470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471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51" t="s">
        <v>472</v>
      </c>
      <c r="C36" s="45"/>
      <c r="D36" s="44"/>
      <c r="E36" s="51" t="s">
        <v>473</v>
      </c>
      <c r="F36" s="51"/>
      <c r="G36" s="44"/>
      <c r="H36" s="119" t="s">
        <v>474</v>
      </c>
      <c r="I36" s="103"/>
      <c r="J36" s="119"/>
      <c r="K36" s="104"/>
      <c r="L36" s="104"/>
      <c r="M36" s="103"/>
      <c r="N36" s="119"/>
      <c r="O36" s="104"/>
      <c r="P36" s="104"/>
      <c r="Q36" s="103"/>
    </row>
    <row r="37" spans="2:17" ht="30" customHeight="1">
      <c r="B37" s="42" t="s">
        <v>81</v>
      </c>
      <c r="C37" s="46">
        <v>400</v>
      </c>
      <c r="D37" s="44"/>
      <c r="E37" s="42" t="s">
        <v>475</v>
      </c>
      <c r="F37" s="61" t="s">
        <v>83</v>
      </c>
      <c r="G37" s="44"/>
      <c r="H37" s="126" t="s">
        <v>293</v>
      </c>
      <c r="I37" s="103"/>
      <c r="J37" s="126" t="s">
        <v>390</v>
      </c>
      <c r="K37" s="104"/>
      <c r="L37" s="104"/>
      <c r="M37" s="103"/>
      <c r="N37" s="126" t="s">
        <v>476</v>
      </c>
      <c r="O37" s="104"/>
      <c r="P37" s="104"/>
      <c r="Q37" s="103"/>
    </row>
    <row r="38" spans="2:17" ht="30" customHeight="1">
      <c r="B38" s="42" t="s">
        <v>445</v>
      </c>
      <c r="C38" s="46">
        <v>50</v>
      </c>
      <c r="D38" s="44"/>
      <c r="E38" s="42" t="s">
        <v>254</v>
      </c>
      <c r="F38" s="46">
        <v>400</v>
      </c>
      <c r="G38" s="44"/>
      <c r="H38" s="102" t="s">
        <v>477</v>
      </c>
      <c r="I38" s="103"/>
      <c r="J38" s="113" t="s">
        <v>200</v>
      </c>
      <c r="K38" s="104"/>
      <c r="L38" s="104"/>
      <c r="M38" s="103"/>
      <c r="N38" s="102" t="s">
        <v>478</v>
      </c>
      <c r="O38" s="104"/>
      <c r="P38" s="104"/>
      <c r="Q38" s="103"/>
    </row>
    <row r="39" spans="2:17" ht="30" customHeight="1">
      <c r="B39" s="42" t="s">
        <v>479</v>
      </c>
      <c r="C39" s="46" t="s">
        <v>300</v>
      </c>
      <c r="D39" s="44"/>
      <c r="E39" s="42" t="s">
        <v>480</v>
      </c>
      <c r="F39" s="71">
        <f>VLOOKUP(F37,$J$50:$L$52,2,FALSE)</f>
        <v>2.1999999999999999E-2</v>
      </c>
      <c r="G39" s="44"/>
      <c r="H39" s="102" t="s">
        <v>397</v>
      </c>
      <c r="I39" s="103"/>
      <c r="J39" s="113" t="s">
        <v>206</v>
      </c>
      <c r="K39" s="104"/>
      <c r="L39" s="104"/>
      <c r="M39" s="103"/>
      <c r="N39" s="102" t="s">
        <v>481</v>
      </c>
      <c r="O39" s="104"/>
      <c r="P39" s="104"/>
      <c r="Q39" s="103"/>
    </row>
    <row r="40" spans="2:17" ht="30" customHeight="1">
      <c r="B40" s="42" t="s">
        <v>482</v>
      </c>
      <c r="C40" s="46">
        <v>90</v>
      </c>
      <c r="D40" s="44"/>
      <c r="E40" s="42" t="s">
        <v>483</v>
      </c>
      <c r="F40" s="49" t="str">
        <f>VLOOKUP(F37,$J$50:$L$52,3,FALSE)</f>
        <v>90 (4:3 base)</v>
      </c>
      <c r="G40" s="44"/>
      <c r="H40" s="102" t="s">
        <v>484</v>
      </c>
      <c r="I40" s="103"/>
      <c r="J40" s="113" t="s">
        <v>100</v>
      </c>
      <c r="K40" s="104"/>
      <c r="L40" s="104"/>
      <c r="M40" s="103"/>
      <c r="N40" s="102" t="s">
        <v>485</v>
      </c>
      <c r="O40" s="104"/>
      <c r="P40" s="104"/>
      <c r="Q40" s="103"/>
    </row>
    <row r="41" spans="2:17" ht="30" customHeight="1">
      <c r="B41" s="42" t="s">
        <v>486</v>
      </c>
      <c r="C41" s="48">
        <f>IF(C39=$B$50,80,IF(C39=$B$52,$C$52,C40))</f>
        <v>80</v>
      </c>
      <c r="D41" s="44"/>
      <c r="E41" s="42" t="s">
        <v>487</v>
      </c>
      <c r="F41" s="49">
        <f>360*2.54/(F38*F39*F42)</f>
        <v>1.9751411977877531</v>
      </c>
      <c r="G41" s="44"/>
      <c r="H41" s="102" t="s">
        <v>405</v>
      </c>
      <c r="I41" s="103"/>
      <c r="J41" s="113" t="s">
        <v>105</v>
      </c>
      <c r="K41" s="104"/>
      <c r="L41" s="104"/>
      <c r="M41" s="103"/>
      <c r="N41" s="102" t="s">
        <v>488</v>
      </c>
      <c r="O41" s="104"/>
      <c r="P41" s="104"/>
      <c r="Q41" s="103"/>
    </row>
    <row r="42" spans="2:17" ht="30" customHeight="1">
      <c r="B42" s="42" t="s">
        <v>437</v>
      </c>
      <c r="C42" s="47" t="s">
        <v>21</v>
      </c>
      <c r="D42" s="44"/>
      <c r="E42" s="42" t="s">
        <v>107</v>
      </c>
      <c r="F42" s="49">
        <f>360*2.54/(C37*C46)*C44*C45</f>
        <v>52.608436817314008</v>
      </c>
      <c r="G42" s="44"/>
      <c r="H42" s="102" t="s">
        <v>108</v>
      </c>
      <c r="I42" s="103"/>
      <c r="J42" s="113" t="s">
        <v>489</v>
      </c>
      <c r="K42" s="104"/>
      <c r="L42" s="104"/>
      <c r="M42" s="103"/>
      <c r="N42" s="102" t="s">
        <v>490</v>
      </c>
      <c r="O42" s="104"/>
      <c r="P42" s="104"/>
      <c r="Q42" s="103"/>
    </row>
    <row r="43" spans="2:17" ht="30" customHeight="1">
      <c r="B43" s="42" t="s">
        <v>438</v>
      </c>
      <c r="C43" s="72" t="str">
        <f>INDEX($L$7:$L$20,MATCH(C42,$K$7:$K$20,0))</f>
        <v>16:10</v>
      </c>
      <c r="D43" s="44"/>
      <c r="E43" s="42" t="s">
        <v>491</v>
      </c>
      <c r="F43" s="50">
        <f>F42/F42-1</f>
        <v>0</v>
      </c>
      <c r="G43" s="44"/>
      <c r="H43" s="102" t="s">
        <v>492</v>
      </c>
      <c r="I43" s="103"/>
      <c r="J43" s="113" t="s">
        <v>493</v>
      </c>
      <c r="K43" s="104"/>
      <c r="L43" s="104"/>
      <c r="M43" s="103"/>
      <c r="N43" s="102" t="s">
        <v>494</v>
      </c>
      <c r="O43" s="104"/>
      <c r="P43" s="104"/>
      <c r="Q43" s="103"/>
    </row>
    <row r="44" spans="2:17" ht="30" customHeight="1">
      <c r="B44" s="42" t="s">
        <v>484</v>
      </c>
      <c r="C44" s="71">
        <f>IF(C43="16:9",1,IF(C43="16:10",1,IF(C43="21:9",0.85,IF(C43="4:3",1.16,1))))</f>
        <v>1</v>
      </c>
      <c r="D44" s="44"/>
      <c r="E44" s="59" t="s">
        <v>318</v>
      </c>
      <c r="F44" s="62" t="str">
        <f>F37&amp;" 靈敏度 "&amp;TEXT(F41,"0.00")&amp;" / "&amp;TEXT(F42,"0.00")&amp;" cm/360"</f>
        <v>CS2 靈敏度 1.98 / 52.61 cm/360</v>
      </c>
      <c r="G44" s="44"/>
      <c r="H44" s="109" t="s">
        <v>319</v>
      </c>
      <c r="I44" s="111"/>
      <c r="J44" s="128" t="s">
        <v>495</v>
      </c>
      <c r="K44" s="110"/>
      <c r="L44" s="110"/>
      <c r="M44" s="111"/>
      <c r="N44" s="109" t="s">
        <v>496</v>
      </c>
      <c r="O44" s="110"/>
      <c r="P44" s="110"/>
      <c r="Q44" s="111"/>
    </row>
    <row r="45" spans="2:17" ht="30" customHeight="1">
      <c r="B45" s="59" t="s">
        <v>405</v>
      </c>
      <c r="C45" s="73">
        <f>IF(C39=$B$52,1/0.8,(TAN(RADIANS(90/2))/TAN(RADIANS(C41/2)))^0.8)</f>
        <v>1.1506657221634735</v>
      </c>
      <c r="D45" s="44"/>
      <c r="E45" s="63" t="s">
        <v>446</v>
      </c>
      <c r="F45" s="64" t="s">
        <v>497</v>
      </c>
      <c r="G45" s="44"/>
      <c r="H45" s="129" t="s">
        <v>498</v>
      </c>
      <c r="I45" s="117"/>
      <c r="J45" s="133" t="s">
        <v>499</v>
      </c>
      <c r="K45" s="116"/>
      <c r="L45" s="116"/>
      <c r="M45" s="117"/>
      <c r="N45" s="115" t="s">
        <v>500</v>
      </c>
      <c r="O45" s="116"/>
      <c r="P45" s="116"/>
      <c r="Q45" s="117"/>
    </row>
    <row r="46" spans="2:17" ht="30" customHeight="1">
      <c r="B46" s="60" t="s">
        <v>123</v>
      </c>
      <c r="C46" s="74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35" t="s">
        <v>107</v>
      </c>
      <c r="C47" s="136"/>
      <c r="D47" s="136"/>
      <c r="E47" s="136"/>
      <c r="F47" s="136"/>
      <c r="G47" s="136"/>
      <c r="H47" s="137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9" t="s">
        <v>501</v>
      </c>
      <c r="C48" s="103"/>
      <c r="D48" s="51"/>
      <c r="E48" s="51"/>
      <c r="F48" s="51"/>
      <c r="G48" s="119"/>
      <c r="H48" s="103"/>
      <c r="I48" s="44"/>
      <c r="J48" s="51" t="s">
        <v>502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26" t="s">
        <v>503</v>
      </c>
      <c r="C49" s="103"/>
      <c r="D49" s="52" t="s">
        <v>405</v>
      </c>
      <c r="E49" s="75" t="s">
        <v>127</v>
      </c>
      <c r="F49" s="76" t="s">
        <v>107</v>
      </c>
      <c r="G49" s="126" t="s">
        <v>446</v>
      </c>
      <c r="H49" s="103"/>
      <c r="I49" s="44"/>
      <c r="J49" s="52" t="s">
        <v>475</v>
      </c>
      <c r="K49" s="75" t="s">
        <v>128</v>
      </c>
      <c r="L49" s="52" t="s">
        <v>129</v>
      </c>
      <c r="M49" s="126" t="s">
        <v>446</v>
      </c>
      <c r="N49" s="104"/>
      <c r="O49" s="104"/>
      <c r="P49" s="104"/>
      <c r="Q49" s="103"/>
    </row>
    <row r="50" spans="2:17" ht="21.95" customHeight="1">
      <c r="B50" s="102" t="s">
        <v>300</v>
      </c>
      <c r="C50" s="103"/>
      <c r="D50" s="71">
        <f>(TAN(RADIANS(90/2))/TAN(RADIANS(80/2)))^0.8</f>
        <v>1.1506657221634735</v>
      </c>
      <c r="E50" s="72">
        <f>$C$46</f>
        <v>0.05</v>
      </c>
      <c r="F50" s="49">
        <f>360*2.54/($C$37*E50)*$C$44*D50</f>
        <v>52.608436817314008</v>
      </c>
      <c r="G50" s="102" t="s">
        <v>504</v>
      </c>
      <c r="H50" s="103"/>
      <c r="I50" s="44"/>
      <c r="J50" s="53" t="s">
        <v>83</v>
      </c>
      <c r="K50" s="77">
        <v>2.1999999999999999E-2</v>
      </c>
      <c r="L50" s="43" t="s">
        <v>132</v>
      </c>
      <c r="M50" s="102" t="s">
        <v>505</v>
      </c>
      <c r="N50" s="104"/>
      <c r="O50" s="104"/>
      <c r="P50" s="104"/>
      <c r="Q50" s="103"/>
    </row>
    <row r="51" spans="2:17" ht="21.95" customHeight="1">
      <c r="B51" s="109" t="s">
        <v>331</v>
      </c>
      <c r="C51" s="111"/>
      <c r="D51" s="73">
        <f>(TAN(RADIANS(90/2))/TAN(RADIANS($C$40/2)))^0.8</f>
        <v>1</v>
      </c>
      <c r="E51" s="78">
        <f>$C$46</f>
        <v>0.05</v>
      </c>
      <c r="F51" s="54">
        <f>360*2.54/($C$37*E51)*$C$44*D51</f>
        <v>45.72</v>
      </c>
      <c r="G51" s="109" t="s">
        <v>506</v>
      </c>
      <c r="H51" s="111"/>
      <c r="I51" s="44"/>
      <c r="J51" s="57" t="s">
        <v>135</v>
      </c>
      <c r="K51" s="79">
        <v>7.0000000000000007E-2</v>
      </c>
      <c r="L51" s="58">
        <v>103</v>
      </c>
      <c r="M51" s="109" t="s">
        <v>333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507</v>
      </c>
      <c r="H52" s="117"/>
      <c r="I52" s="44"/>
      <c r="J52" s="55" t="s">
        <v>139</v>
      </c>
      <c r="K52" s="81">
        <v>6.6E-3</v>
      </c>
      <c r="L52" s="55">
        <v>103</v>
      </c>
      <c r="M52" s="115" t="s">
        <v>508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"TPP 一般,FPP 一般,ADS"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Q59"/>
  <sheetViews>
    <sheetView tabSelected="1" workbookViewId="0">
      <selection activeCell="F19" sqref="F19"/>
    </sheetView>
  </sheetViews>
  <sheetFormatPr defaultRowHeight="16.5"/>
  <cols>
    <col min="2" max="2" width="29" style="2" customWidth="1"/>
    <col min="3" max="3" width="16" style="2" customWidth="1"/>
    <col min="4" max="4" width="9" style="2" customWidth="1"/>
    <col min="5" max="5" width="18" style="2" customWidth="1"/>
    <col min="6" max="6" width="22" style="2" customWidth="1"/>
    <col min="7" max="7" width="24" style="2" customWidth="1"/>
    <col min="8" max="8" width="18" style="2" customWidth="1"/>
    <col min="9" max="9" width="8" style="2" customWidth="1"/>
    <col min="10" max="10" width="37.125" style="2" customWidth="1"/>
    <col min="11" max="11" width="12" style="2" customWidth="1"/>
    <col min="12" max="12" width="18" style="2" customWidth="1"/>
    <col min="13" max="13" width="28" style="2" customWidth="1"/>
    <col min="14" max="14" width="42" style="2" customWidth="1"/>
    <col min="15" max="16" width="16" style="2" customWidth="1"/>
    <col min="17" max="17" width="70.375" style="2" bestFit="1" customWidth="1"/>
  </cols>
  <sheetData>
    <row r="1" spans="2:17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7.25" customHeight="1">
      <c r="B2" s="5" t="s">
        <v>509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7.25" customHeight="1">
      <c r="B3" s="5" t="s">
        <v>510</v>
      </c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27.95" customHeight="1">
      <c r="B5" s="105" t="s">
        <v>511</v>
      </c>
      <c r="C5" s="106"/>
      <c r="D5" s="3"/>
      <c r="E5" s="105" t="s">
        <v>512</v>
      </c>
      <c r="F5" s="106"/>
      <c r="G5" s="3"/>
      <c r="H5" s="97" t="s">
        <v>513</v>
      </c>
      <c r="I5" s="99"/>
      <c r="J5" s="3"/>
      <c r="K5" s="105" t="s">
        <v>514</v>
      </c>
      <c r="L5" s="106"/>
      <c r="M5" s="3"/>
      <c r="N5" s="97" t="s">
        <v>515</v>
      </c>
      <c r="O5" s="98"/>
      <c r="P5" s="98"/>
      <c r="Q5" s="99"/>
    </row>
    <row r="6" spans="2:17" ht="19.5" customHeight="1">
      <c r="B6" s="8" t="s">
        <v>516</v>
      </c>
      <c r="C6" s="9"/>
      <c r="D6" s="3"/>
      <c r="E6" s="8" t="s">
        <v>516</v>
      </c>
      <c r="F6" s="10"/>
      <c r="G6" s="3"/>
      <c r="H6" s="8" t="s">
        <v>517</v>
      </c>
      <c r="I6" s="9"/>
      <c r="J6" s="3"/>
      <c r="K6" s="11" t="s">
        <v>518</v>
      </c>
      <c r="L6" s="12" t="s">
        <v>519</v>
      </c>
      <c r="M6" s="3"/>
      <c r="N6" s="8" t="s">
        <v>516</v>
      </c>
      <c r="O6" s="124"/>
      <c r="P6" s="125"/>
      <c r="Q6" s="130"/>
    </row>
    <row r="7" spans="2:17" ht="20.25" customHeight="1">
      <c r="B7" s="13" t="s">
        <v>520</v>
      </c>
      <c r="C7" s="14"/>
      <c r="D7" s="3"/>
      <c r="E7" s="13" t="s">
        <v>521</v>
      </c>
      <c r="F7" s="15"/>
      <c r="G7" s="3"/>
      <c r="H7" s="16" t="s">
        <v>522</v>
      </c>
      <c r="I7" s="17"/>
      <c r="J7" s="3"/>
      <c r="K7" s="18" t="s">
        <v>14</v>
      </c>
      <c r="L7" s="19" t="s">
        <v>15</v>
      </c>
      <c r="M7" s="3"/>
      <c r="N7" s="13" t="s">
        <v>520</v>
      </c>
      <c r="O7" s="132"/>
      <c r="P7" s="117"/>
      <c r="Q7" s="131"/>
    </row>
    <row r="8" spans="2:17" ht="20.25" customHeight="1">
      <c r="B8" s="16" t="s">
        <v>523</v>
      </c>
      <c r="C8" s="17"/>
      <c r="D8" s="3"/>
      <c r="E8" s="16" t="s">
        <v>524</v>
      </c>
      <c r="F8" s="20"/>
      <c r="G8" s="3"/>
      <c r="H8" s="21" t="s">
        <v>18</v>
      </c>
      <c r="I8" s="22" t="e">
        <f>I17*10^((I21-I18)/50)</f>
        <v>#NUM!</v>
      </c>
      <c r="J8" s="3"/>
      <c r="K8" s="18" t="s">
        <v>19</v>
      </c>
      <c r="L8" s="19" t="s">
        <v>15</v>
      </c>
      <c r="M8" s="3"/>
      <c r="N8" s="13" t="s">
        <v>617</v>
      </c>
      <c r="O8" s="23" t="s">
        <v>21</v>
      </c>
      <c r="P8" s="14" t="str">
        <f>INDEX(L7:L20, MATCH(O8, K7:K20, 0), 1)</f>
        <v>16:10</v>
      </c>
      <c r="Q8" s="131"/>
    </row>
    <row r="9" spans="2:17" ht="20.25" customHeight="1">
      <c r="B9" s="8" t="s">
        <v>525</v>
      </c>
      <c r="C9" s="24">
        <f>C8-C6</f>
        <v>0</v>
      </c>
      <c r="D9" s="3"/>
      <c r="E9" s="25" t="s">
        <v>526</v>
      </c>
      <c r="F9" s="26" t="e">
        <f>LOG(F7/F8,10)</f>
        <v>#DIV/0!</v>
      </c>
      <c r="G9" s="3"/>
      <c r="H9" s="3"/>
      <c r="I9" s="3"/>
      <c r="J9" s="3"/>
      <c r="K9" s="18" t="s">
        <v>24</v>
      </c>
      <c r="L9" s="19" t="s">
        <v>15</v>
      </c>
      <c r="M9" s="3"/>
      <c r="N9" s="16" t="s">
        <v>618</v>
      </c>
      <c r="O9" s="27" t="s">
        <v>26</v>
      </c>
      <c r="P9" s="17" t="str">
        <f>INDEX(L7:L20, MATCH(O9, K7:K20, 0), 1)</f>
        <v>16:9</v>
      </c>
      <c r="Q9" s="131"/>
    </row>
    <row r="10" spans="2:17" ht="24" customHeight="1">
      <c r="B10" s="16" t="s">
        <v>527</v>
      </c>
      <c r="C10" s="65">
        <f>10^(C9/50)</f>
        <v>1</v>
      </c>
      <c r="D10" s="3"/>
      <c r="E10" s="21" t="s">
        <v>523</v>
      </c>
      <c r="F10" s="22" t="e">
        <f>F6+50*F9</f>
        <v>#DIV/0!</v>
      </c>
      <c r="G10" s="3"/>
      <c r="H10" s="3"/>
      <c r="I10" s="3"/>
      <c r="J10" s="3"/>
      <c r="K10" s="18" t="s">
        <v>26</v>
      </c>
      <c r="L10" s="19" t="s">
        <v>15</v>
      </c>
      <c r="M10" s="3"/>
      <c r="N10" s="8" t="s">
        <v>514</v>
      </c>
      <c r="O10" s="66" t="s">
        <v>528</v>
      </c>
      <c r="P10" s="28" t="s">
        <v>551</v>
      </c>
      <c r="Q10" s="12" t="s">
        <v>529</v>
      </c>
    </row>
    <row r="11" spans="2:17" ht="24" customHeight="1">
      <c r="B11" s="29" t="s">
        <v>530</v>
      </c>
      <c r="C11" s="30">
        <f>C7*1/C10</f>
        <v>0</v>
      </c>
      <c r="D11" s="3"/>
      <c r="E11" s="3"/>
      <c r="F11" s="3"/>
      <c r="G11" s="3"/>
      <c r="H11" s="3"/>
      <c r="I11" s="3"/>
      <c r="J11" s="3"/>
      <c r="K11" s="18" t="s">
        <v>32</v>
      </c>
      <c r="L11" s="19" t="s">
        <v>33</v>
      </c>
      <c r="M11" s="3"/>
      <c r="N11" s="13" t="s">
        <v>531</v>
      </c>
      <c r="O11" s="31">
        <f>O6</f>
        <v>0</v>
      </c>
      <c r="P11" s="67">
        <f>O7*1.11</f>
        <v>0</v>
      </c>
      <c r="Q11" s="68" t="s">
        <v>532</v>
      </c>
    </row>
    <row r="12" spans="2:17" ht="24" customHeight="1">
      <c r="B12" s="13" t="s">
        <v>533</v>
      </c>
      <c r="C12" s="32">
        <f>ROUND(C11,2)</f>
        <v>0</v>
      </c>
      <c r="D12" s="3"/>
      <c r="E12" s="3"/>
      <c r="F12" s="3"/>
      <c r="G12" s="3"/>
      <c r="H12" s="3"/>
      <c r="I12" s="3"/>
      <c r="J12" s="3"/>
      <c r="K12" s="18" t="s">
        <v>37</v>
      </c>
      <c r="L12" s="19" t="s">
        <v>15</v>
      </c>
      <c r="M12" s="3"/>
      <c r="N12" s="13" t="s">
        <v>534</v>
      </c>
      <c r="O12" s="31">
        <f>O6</f>
        <v>0</v>
      </c>
      <c r="P12" s="67">
        <f>O7/1.11</f>
        <v>0</v>
      </c>
      <c r="Q12" s="68" t="s">
        <v>535</v>
      </c>
    </row>
    <row r="13" spans="2:17" ht="24" customHeight="1">
      <c r="B13" s="16" t="s">
        <v>536</v>
      </c>
      <c r="C13" s="33">
        <f>ROUNDDOWN(C11,2)</f>
        <v>0</v>
      </c>
      <c r="D13" s="3"/>
      <c r="E13" s="3"/>
      <c r="F13" s="3"/>
      <c r="G13" s="3"/>
      <c r="H13" s="3"/>
      <c r="I13" s="3"/>
      <c r="J13" s="3"/>
      <c r="K13" s="18" t="s">
        <v>41</v>
      </c>
      <c r="L13" s="19" t="s">
        <v>33</v>
      </c>
      <c r="M13" s="3"/>
      <c r="N13" s="13" t="s">
        <v>537</v>
      </c>
      <c r="O13" s="31">
        <f>O6</f>
        <v>0</v>
      </c>
      <c r="P13" s="67">
        <f>O7*0.85</f>
        <v>0</v>
      </c>
      <c r="Q13" s="68" t="s">
        <v>538</v>
      </c>
    </row>
    <row r="14" spans="2:17" ht="24" customHeight="1">
      <c r="B14" s="3"/>
      <c r="C14" s="3"/>
      <c r="D14" s="3"/>
      <c r="E14" s="3"/>
      <c r="F14" s="3"/>
      <c r="G14" s="3"/>
      <c r="H14" s="3"/>
      <c r="I14" s="3"/>
      <c r="J14" s="3"/>
      <c r="K14" s="18" t="s">
        <v>44</v>
      </c>
      <c r="L14" s="19" t="s">
        <v>15</v>
      </c>
      <c r="M14" s="3"/>
      <c r="N14" s="34" t="s">
        <v>539</v>
      </c>
      <c r="O14" s="31">
        <f>O6</f>
        <v>0</v>
      </c>
      <c r="P14" s="67">
        <f>O7/0.85</f>
        <v>0</v>
      </c>
      <c r="Q14" s="68" t="s">
        <v>540</v>
      </c>
    </row>
    <row r="15" spans="2:17" ht="24" customHeight="1">
      <c r="B15" s="3"/>
      <c r="C15" s="3"/>
      <c r="D15" s="3"/>
      <c r="E15" s="3"/>
      <c r="F15" s="3"/>
      <c r="G15" s="3"/>
      <c r="H15" s="3"/>
      <c r="I15" s="3"/>
      <c r="J15" s="3"/>
      <c r="K15" s="18" t="s">
        <v>21</v>
      </c>
      <c r="L15" s="19" t="s">
        <v>47</v>
      </c>
      <c r="M15" s="3"/>
      <c r="N15" s="13" t="s">
        <v>541</v>
      </c>
      <c r="O15" s="31">
        <f>O6+3</f>
        <v>3</v>
      </c>
      <c r="P15" s="67">
        <f>O7*1.166</f>
        <v>0</v>
      </c>
      <c r="Q15" s="68" t="s">
        <v>619</v>
      </c>
    </row>
    <row r="16" spans="2:17" ht="24" customHeight="1">
      <c r="B16" s="3"/>
      <c r="C16" s="3"/>
      <c r="D16" s="3"/>
      <c r="E16" s="3"/>
      <c r="F16" s="3"/>
      <c r="G16" s="3"/>
      <c r="H16" s="3"/>
      <c r="I16" s="3"/>
      <c r="J16" s="3"/>
      <c r="K16" s="18" t="s">
        <v>50</v>
      </c>
      <c r="L16" s="19" t="s">
        <v>47</v>
      </c>
      <c r="M16" s="3"/>
      <c r="N16" s="16" t="s">
        <v>542</v>
      </c>
      <c r="O16" s="35">
        <f>O6-3</f>
        <v>-3</v>
      </c>
      <c r="P16" s="69">
        <f>O7/1.166</f>
        <v>0</v>
      </c>
      <c r="Q16" s="70" t="s">
        <v>620</v>
      </c>
    </row>
    <row r="17" spans="2:17">
      <c r="B17" s="3"/>
      <c r="C17" s="3"/>
      <c r="D17" s="3"/>
      <c r="E17" s="3"/>
      <c r="F17" s="3"/>
      <c r="G17" s="3"/>
      <c r="H17" s="36" t="s">
        <v>543</v>
      </c>
      <c r="I17" s="36">
        <v>800</v>
      </c>
      <c r="J17" s="3"/>
      <c r="K17" s="18" t="s">
        <v>54</v>
      </c>
      <c r="L17" s="19" t="s">
        <v>47</v>
      </c>
      <c r="M17" s="3"/>
      <c r="N17" s="3"/>
      <c r="O17" s="3"/>
      <c r="P17" s="3"/>
      <c r="Q17" s="3"/>
    </row>
    <row r="18" spans="2:17" ht="18.75" customHeight="1">
      <c r="B18" s="3"/>
      <c r="C18" s="3"/>
      <c r="D18" s="3"/>
      <c r="E18" s="3"/>
      <c r="F18" s="3"/>
      <c r="G18" s="3"/>
      <c r="H18" s="36" t="s">
        <v>544</v>
      </c>
      <c r="I18" s="36">
        <v>11</v>
      </c>
      <c r="J18" s="3"/>
      <c r="K18" s="18" t="s">
        <v>56</v>
      </c>
      <c r="L18" s="19" t="s">
        <v>47</v>
      </c>
      <c r="M18" s="3"/>
      <c r="N18" s="4" t="s">
        <v>545</v>
      </c>
      <c r="O18" s="4"/>
      <c r="P18" s="4"/>
      <c r="Q18" s="4"/>
    </row>
    <row r="19" spans="2:17" ht="18.75" customHeight="1">
      <c r="B19" s="3"/>
      <c r="C19" s="3"/>
      <c r="D19" s="3"/>
      <c r="E19" s="3"/>
      <c r="F19" s="3"/>
      <c r="G19" s="3"/>
      <c r="H19" s="36" t="s">
        <v>546</v>
      </c>
      <c r="I19" s="36">
        <f>(I17*I18)/11</f>
        <v>800</v>
      </c>
      <c r="J19" s="3"/>
      <c r="K19" s="18" t="s">
        <v>59</v>
      </c>
      <c r="L19" s="19" t="s">
        <v>60</v>
      </c>
      <c r="M19" s="3"/>
      <c r="N19" s="4" t="s">
        <v>61</v>
      </c>
      <c r="O19" s="4"/>
      <c r="P19" s="4"/>
      <c r="Q19" s="4"/>
    </row>
    <row r="20" spans="2:17" ht="18.75" customHeight="1">
      <c r="B20" s="3"/>
      <c r="C20" s="3"/>
      <c r="D20" s="3"/>
      <c r="E20" s="3"/>
      <c r="F20" s="3"/>
      <c r="G20" s="3"/>
      <c r="H20" s="36" t="s">
        <v>526</v>
      </c>
      <c r="I20" s="36" t="e">
        <f>LOG(I6/I17,10)</f>
        <v>#NUM!</v>
      </c>
      <c r="J20" s="3"/>
      <c r="K20" s="37" t="s">
        <v>62</v>
      </c>
      <c r="L20" s="38" t="s">
        <v>60</v>
      </c>
      <c r="M20" s="3"/>
      <c r="N20" s="4" t="s">
        <v>63</v>
      </c>
      <c r="O20" s="4"/>
      <c r="P20" s="4"/>
      <c r="Q20" s="4"/>
    </row>
    <row r="21" spans="2:17" ht="17.25" customHeight="1">
      <c r="B21" s="3"/>
      <c r="C21" s="3"/>
      <c r="D21" s="3"/>
      <c r="E21" s="3"/>
      <c r="F21" s="3"/>
      <c r="G21" s="3"/>
      <c r="H21" s="36" t="s">
        <v>547</v>
      </c>
      <c r="I21" s="36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ht="27.95" customHeight="1">
      <c r="B22" s="105" t="s">
        <v>548</v>
      </c>
      <c r="C22" s="106"/>
      <c r="D22" s="3"/>
      <c r="E22" s="3"/>
      <c r="F22" s="3"/>
      <c r="G22" s="3"/>
      <c r="H22" s="36"/>
      <c r="I22" s="36"/>
      <c r="J22" s="3"/>
      <c r="K22" s="3"/>
      <c r="L22" s="3"/>
      <c r="M22" s="3"/>
      <c r="N22" s="3"/>
      <c r="O22" s="3"/>
      <c r="P22" s="3"/>
      <c r="Q22" s="3"/>
    </row>
    <row r="23" spans="2:17" ht="21.95" customHeight="1">
      <c r="B23" s="8" t="s">
        <v>549</v>
      </c>
      <c r="C23" s="9"/>
      <c r="D23" s="3"/>
      <c r="E23" s="3"/>
      <c r="F23" s="3"/>
      <c r="G23" s="3"/>
      <c r="H23" s="112" t="s">
        <v>550</v>
      </c>
      <c r="I23" s="108"/>
      <c r="J23" s="3"/>
      <c r="K23" s="3"/>
      <c r="L23" s="3"/>
      <c r="M23" s="3"/>
      <c r="N23" s="3"/>
      <c r="O23" s="3"/>
      <c r="P23" s="3"/>
      <c r="Q23" s="3"/>
    </row>
    <row r="24" spans="2:17" ht="21.95" customHeight="1">
      <c r="B24" s="13" t="s">
        <v>551</v>
      </c>
      <c r="C24" s="14"/>
      <c r="D24" s="3"/>
      <c r="E24" s="3"/>
      <c r="F24" s="3"/>
      <c r="G24" s="3"/>
      <c r="H24" s="107" t="s">
        <v>552</v>
      </c>
      <c r="I24" s="108"/>
      <c r="J24" s="3"/>
      <c r="K24" s="3"/>
      <c r="L24" s="3"/>
      <c r="M24" s="3"/>
      <c r="N24" s="3"/>
      <c r="O24" s="3"/>
      <c r="P24" s="3"/>
      <c r="Q24" s="3"/>
    </row>
    <row r="25" spans="2:17" ht="21.95" customHeight="1">
      <c r="B25" s="39" t="s">
        <v>70</v>
      </c>
      <c r="C25" s="40"/>
      <c r="D25" s="3"/>
      <c r="E25" s="36"/>
      <c r="F25" s="3"/>
      <c r="G25" s="3"/>
      <c r="H25" s="107" t="s">
        <v>185</v>
      </c>
      <c r="I25" s="108"/>
      <c r="J25" s="3"/>
      <c r="K25" s="3"/>
      <c r="L25" s="3"/>
      <c r="M25" s="3"/>
      <c r="N25" s="3"/>
      <c r="O25" s="3"/>
      <c r="P25" s="3"/>
      <c r="Q25" s="3"/>
    </row>
    <row r="26" spans="2:17" ht="21.95" customHeight="1">
      <c r="B26" s="8" t="s">
        <v>553</v>
      </c>
      <c r="C26" s="41" t="e">
        <f>B32*C24</f>
        <v>#NUM!</v>
      </c>
      <c r="D26" s="3"/>
      <c r="E26" s="3"/>
      <c r="F26" s="3"/>
      <c r="G26" s="3"/>
      <c r="H26" s="107" t="s">
        <v>187</v>
      </c>
      <c r="I26" s="108"/>
      <c r="J26" s="3"/>
      <c r="K26" s="3"/>
      <c r="L26" s="3"/>
      <c r="M26" s="3"/>
      <c r="N26" s="3"/>
      <c r="O26" s="3"/>
      <c r="P26" s="3"/>
      <c r="Q26" s="3"/>
    </row>
    <row r="27" spans="2:17" ht="21.95" customHeight="1">
      <c r="B27" s="13" t="s">
        <v>554</v>
      </c>
      <c r="C27" s="32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7" t="s">
        <v>555</v>
      </c>
      <c r="I27" s="108"/>
      <c r="J27" s="3"/>
      <c r="K27" s="3"/>
      <c r="L27" s="3"/>
      <c r="M27" s="3"/>
      <c r="N27" s="3"/>
      <c r="O27" s="3"/>
      <c r="P27" s="3"/>
      <c r="Q27" s="3"/>
    </row>
    <row r="28" spans="2:17" ht="20.25" customHeight="1">
      <c r="B28" s="16" t="s">
        <v>556</v>
      </c>
      <c r="C28" s="33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  <row r="35" spans="2:17" ht="20.25" customHeight="1">
      <c r="B35" s="123" t="s">
        <v>557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3"/>
    </row>
    <row r="36" spans="2:17" ht="30" customHeight="1">
      <c r="B36" s="51" t="s">
        <v>558</v>
      </c>
      <c r="C36" s="45"/>
      <c r="D36" s="44"/>
      <c r="E36" s="51" t="s">
        <v>559</v>
      </c>
      <c r="F36" s="51"/>
      <c r="G36" s="44"/>
      <c r="H36" s="119" t="s">
        <v>560</v>
      </c>
      <c r="I36" s="103"/>
      <c r="J36" s="119"/>
      <c r="K36" s="104"/>
      <c r="L36" s="104"/>
      <c r="M36" s="103"/>
      <c r="N36" s="119"/>
      <c r="O36" s="104"/>
      <c r="P36" s="104"/>
      <c r="Q36" s="103"/>
    </row>
    <row r="37" spans="2:17" ht="30" customHeight="1">
      <c r="B37" s="42" t="s">
        <v>81</v>
      </c>
      <c r="C37" s="46">
        <v>400</v>
      </c>
      <c r="D37" s="44"/>
      <c r="E37" s="42" t="s">
        <v>561</v>
      </c>
      <c r="F37" s="61" t="s">
        <v>83</v>
      </c>
      <c r="G37" s="44"/>
      <c r="H37" s="126" t="s">
        <v>562</v>
      </c>
      <c r="I37" s="103"/>
      <c r="J37" s="126" t="s">
        <v>563</v>
      </c>
      <c r="K37" s="104"/>
      <c r="L37" s="104"/>
      <c r="M37" s="103"/>
      <c r="N37" s="126" t="s">
        <v>564</v>
      </c>
      <c r="O37" s="104"/>
      <c r="P37" s="104"/>
      <c r="Q37" s="103"/>
    </row>
    <row r="38" spans="2:17" ht="30" customHeight="1">
      <c r="B38" s="42" t="s">
        <v>528</v>
      </c>
      <c r="C38" s="46">
        <v>50</v>
      </c>
      <c r="D38" s="44"/>
      <c r="E38" s="42" t="s">
        <v>524</v>
      </c>
      <c r="F38" s="46">
        <v>400</v>
      </c>
      <c r="G38" s="44"/>
      <c r="H38" s="102" t="s">
        <v>565</v>
      </c>
      <c r="I38" s="103"/>
      <c r="J38" s="113" t="s">
        <v>200</v>
      </c>
      <c r="K38" s="104"/>
      <c r="L38" s="104"/>
      <c r="M38" s="103"/>
      <c r="N38" s="102" t="s">
        <v>566</v>
      </c>
      <c r="O38" s="104"/>
      <c r="P38" s="104"/>
      <c r="Q38" s="103"/>
    </row>
    <row r="39" spans="2:17" ht="30" customHeight="1">
      <c r="B39" s="42" t="s">
        <v>567</v>
      </c>
      <c r="C39" s="46" t="s">
        <v>203</v>
      </c>
      <c r="D39" s="44"/>
      <c r="E39" s="42" t="s">
        <v>568</v>
      </c>
      <c r="F39" s="71">
        <f>VLOOKUP(F37,$J$50:$L$52,2,FALSE)</f>
        <v>2.1999999999999999E-2</v>
      </c>
      <c r="G39" s="44"/>
      <c r="H39" s="102" t="s">
        <v>569</v>
      </c>
      <c r="I39" s="103"/>
      <c r="J39" s="113" t="s">
        <v>206</v>
      </c>
      <c r="K39" s="104"/>
      <c r="L39" s="104"/>
      <c r="M39" s="103"/>
      <c r="N39" s="102" t="s">
        <v>570</v>
      </c>
      <c r="O39" s="104"/>
      <c r="P39" s="104"/>
      <c r="Q39" s="103"/>
    </row>
    <row r="40" spans="2:17" ht="30" customHeight="1">
      <c r="B40" s="42" t="s">
        <v>571</v>
      </c>
      <c r="C40" s="46">
        <v>90</v>
      </c>
      <c r="D40" s="44"/>
      <c r="E40" s="42" t="s">
        <v>572</v>
      </c>
      <c r="F40" s="49" t="str">
        <f>VLOOKUP(F37,$J$50:$L$52,3,FALSE)</f>
        <v>90 (4:3 base)</v>
      </c>
      <c r="G40" s="44"/>
      <c r="H40" s="102" t="s">
        <v>573</v>
      </c>
      <c r="I40" s="103"/>
      <c r="J40" s="113" t="s">
        <v>100</v>
      </c>
      <c r="K40" s="104"/>
      <c r="L40" s="104"/>
      <c r="M40" s="103"/>
      <c r="N40" s="102" t="s">
        <v>574</v>
      </c>
      <c r="O40" s="104"/>
      <c r="P40" s="104"/>
      <c r="Q40" s="103"/>
    </row>
    <row r="41" spans="2:17" ht="30" customHeight="1">
      <c r="B41" s="42" t="s">
        <v>575</v>
      </c>
      <c r="C41" s="48">
        <f>IF(C39=$B$50,80,IF(C39=$B$52,$C$52,C40))</f>
        <v>80</v>
      </c>
      <c r="D41" s="44"/>
      <c r="E41" s="42" t="s">
        <v>576</v>
      </c>
      <c r="F41" s="49">
        <f>360*2.54/(F38*F39*F42)</f>
        <v>1.9751411977877531</v>
      </c>
      <c r="G41" s="44"/>
      <c r="H41" s="102" t="s">
        <v>577</v>
      </c>
      <c r="I41" s="103"/>
      <c r="J41" s="113" t="s">
        <v>105</v>
      </c>
      <c r="K41" s="104"/>
      <c r="L41" s="104"/>
      <c r="M41" s="103"/>
      <c r="N41" s="102" t="s">
        <v>578</v>
      </c>
      <c r="O41" s="104"/>
      <c r="P41" s="104"/>
      <c r="Q41" s="103"/>
    </row>
    <row r="42" spans="2:17" ht="30" customHeight="1">
      <c r="B42" s="42" t="s">
        <v>518</v>
      </c>
      <c r="C42" s="47" t="s">
        <v>21</v>
      </c>
      <c r="D42" s="44"/>
      <c r="E42" s="42" t="s">
        <v>107</v>
      </c>
      <c r="F42" s="49">
        <f>360*2.54/(C37*C46)*C44*C45</f>
        <v>52.608436817314008</v>
      </c>
      <c r="G42" s="44"/>
      <c r="H42" s="102" t="s">
        <v>108</v>
      </c>
      <c r="I42" s="103"/>
      <c r="J42" s="113" t="s">
        <v>579</v>
      </c>
      <c r="K42" s="104"/>
      <c r="L42" s="104"/>
      <c r="M42" s="103"/>
      <c r="N42" s="102" t="s">
        <v>580</v>
      </c>
      <c r="O42" s="104"/>
      <c r="P42" s="104"/>
      <c r="Q42" s="103"/>
    </row>
    <row r="43" spans="2:17" ht="30" customHeight="1">
      <c r="B43" s="42" t="s">
        <v>519</v>
      </c>
      <c r="C43" s="72" t="str">
        <f>INDEX($L$7:$L$20,MATCH(C42,$K$7:$K$20,0))</f>
        <v>16:10</v>
      </c>
      <c r="D43" s="44"/>
      <c r="E43" s="42" t="s">
        <v>581</v>
      </c>
      <c r="F43" s="50">
        <f>F42/F42-1</f>
        <v>0</v>
      </c>
      <c r="G43" s="44"/>
      <c r="H43" s="102" t="s">
        <v>582</v>
      </c>
      <c r="I43" s="103"/>
      <c r="J43" s="113" t="s">
        <v>583</v>
      </c>
      <c r="K43" s="104"/>
      <c r="L43" s="104"/>
      <c r="M43" s="103"/>
      <c r="N43" s="102" t="s">
        <v>584</v>
      </c>
      <c r="O43" s="104"/>
      <c r="P43" s="104"/>
      <c r="Q43" s="103"/>
    </row>
    <row r="44" spans="2:17" ht="30" customHeight="1">
      <c r="B44" s="42" t="s">
        <v>573</v>
      </c>
      <c r="C44" s="71">
        <f>IF(C43="16:9",1,IF(C43="16:10",1,IF(C43="21:9",0.85,IF(C43="4:3",1.16,1))))</f>
        <v>1</v>
      </c>
      <c r="D44" s="44"/>
      <c r="E44" s="59" t="s">
        <v>585</v>
      </c>
      <c r="F44" s="62" t="str">
        <f>F37&amp;" sens "&amp;TEXT(F41,"0.00")&amp;" / "&amp;TEXT(F42,"0.00")&amp;" cm/360"</f>
        <v>CS2 sens 1.98 / 52.61 cm/360</v>
      </c>
      <c r="G44" s="44"/>
      <c r="H44" s="109" t="s">
        <v>586</v>
      </c>
      <c r="I44" s="111"/>
      <c r="J44" s="128" t="s">
        <v>587</v>
      </c>
      <c r="K44" s="110"/>
      <c r="L44" s="110"/>
      <c r="M44" s="111"/>
      <c r="N44" s="109" t="s">
        <v>588</v>
      </c>
      <c r="O44" s="110"/>
      <c r="P44" s="110"/>
      <c r="Q44" s="111"/>
    </row>
    <row r="45" spans="2:17" ht="30" customHeight="1">
      <c r="B45" s="59" t="s">
        <v>577</v>
      </c>
      <c r="C45" s="73">
        <f>IF(C39=$B$52,1/0.8,(TAN(RADIANS(90/2))/TAN(RADIANS(C41/2)))^0.8)</f>
        <v>1.1506657221634735</v>
      </c>
      <c r="D45" s="44"/>
      <c r="E45" s="63" t="s">
        <v>529</v>
      </c>
      <c r="F45" s="64" t="s">
        <v>589</v>
      </c>
      <c r="G45" s="44"/>
      <c r="H45" s="129" t="s">
        <v>590</v>
      </c>
      <c r="I45" s="117"/>
      <c r="J45" s="133" t="s">
        <v>121</v>
      </c>
      <c r="K45" s="116"/>
      <c r="L45" s="116"/>
      <c r="M45" s="117"/>
      <c r="N45" s="115" t="s">
        <v>591</v>
      </c>
      <c r="O45" s="116"/>
      <c r="P45" s="116"/>
      <c r="Q45" s="117"/>
    </row>
    <row r="46" spans="2:17" ht="30" customHeight="1">
      <c r="B46" s="60" t="s">
        <v>123</v>
      </c>
      <c r="C46" s="74">
        <f>0.005*10^(C38/50)</f>
        <v>0.05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</row>
    <row r="47" spans="2:17" ht="21.95" customHeight="1">
      <c r="B47" s="135" t="s">
        <v>107</v>
      </c>
      <c r="C47" s="136"/>
      <c r="D47" s="136"/>
      <c r="E47" s="136"/>
      <c r="F47" s="136"/>
      <c r="G47" s="136"/>
      <c r="H47" s="137"/>
      <c r="I47" s="44"/>
      <c r="J47" s="134"/>
      <c r="K47" s="104"/>
      <c r="L47" s="104"/>
      <c r="M47" s="104"/>
      <c r="N47" s="104"/>
      <c r="O47" s="104"/>
      <c r="P47" s="104"/>
      <c r="Q47" s="103"/>
    </row>
    <row r="48" spans="2:17" ht="21.95" customHeight="1">
      <c r="B48" s="119" t="s">
        <v>592</v>
      </c>
      <c r="C48" s="103"/>
      <c r="D48" s="51"/>
      <c r="E48" s="51"/>
      <c r="F48" s="51"/>
      <c r="G48" s="119"/>
      <c r="H48" s="103"/>
      <c r="I48" s="44"/>
      <c r="J48" s="51" t="s">
        <v>593</v>
      </c>
      <c r="K48" s="51"/>
      <c r="L48" s="51"/>
      <c r="M48" s="119"/>
      <c r="N48" s="104"/>
      <c r="O48" s="104"/>
      <c r="P48" s="104"/>
      <c r="Q48" s="103"/>
    </row>
    <row r="49" spans="2:17" ht="21.95" customHeight="1">
      <c r="B49" s="126" t="s">
        <v>594</v>
      </c>
      <c r="C49" s="103"/>
      <c r="D49" s="52" t="s">
        <v>577</v>
      </c>
      <c r="E49" s="75" t="s">
        <v>127</v>
      </c>
      <c r="F49" s="76" t="s">
        <v>107</v>
      </c>
      <c r="G49" s="126" t="s">
        <v>529</v>
      </c>
      <c r="H49" s="103"/>
      <c r="I49" s="44"/>
      <c r="J49" s="52" t="s">
        <v>561</v>
      </c>
      <c r="K49" s="75" t="s">
        <v>128</v>
      </c>
      <c r="L49" s="52" t="s">
        <v>129</v>
      </c>
      <c r="M49" s="126" t="s">
        <v>529</v>
      </c>
      <c r="N49" s="104"/>
      <c r="O49" s="104"/>
      <c r="P49" s="104"/>
      <c r="Q49" s="103"/>
    </row>
    <row r="50" spans="2:17" ht="21.95" customHeight="1">
      <c r="B50" s="102" t="s">
        <v>203</v>
      </c>
      <c r="C50" s="103"/>
      <c r="D50" s="71">
        <f>(TAN(RADIANS(90/2))/TAN(RADIANS(80/2)))^0.8</f>
        <v>1.1506657221634735</v>
      </c>
      <c r="E50" s="72">
        <f>$C$46</f>
        <v>0.05</v>
      </c>
      <c r="F50" s="49">
        <f>360*2.54/($C$37*E50)*$C$44*D50</f>
        <v>52.608436817314008</v>
      </c>
      <c r="G50" s="102" t="s">
        <v>595</v>
      </c>
      <c r="H50" s="103"/>
      <c r="I50" s="44"/>
      <c r="J50" s="53" t="s">
        <v>83</v>
      </c>
      <c r="K50" s="77">
        <v>2.1999999999999999E-2</v>
      </c>
      <c r="L50" s="43" t="s">
        <v>132</v>
      </c>
      <c r="M50" s="102" t="s">
        <v>596</v>
      </c>
      <c r="N50" s="104"/>
      <c r="O50" s="104"/>
      <c r="P50" s="104"/>
      <c r="Q50" s="103"/>
    </row>
    <row r="51" spans="2:17" ht="21.95" customHeight="1">
      <c r="B51" s="109" t="s">
        <v>234</v>
      </c>
      <c r="C51" s="111"/>
      <c r="D51" s="73">
        <f>(TAN(RADIANS(90/2))/TAN(RADIANS($C$40/2)))^0.8</f>
        <v>1</v>
      </c>
      <c r="E51" s="78">
        <f>$C$46</f>
        <v>0.05</v>
      </c>
      <c r="F51" s="54">
        <f>360*2.54/($C$37*E51)*$C$44*D51</f>
        <v>45.72</v>
      </c>
      <c r="G51" s="109" t="s">
        <v>597</v>
      </c>
      <c r="H51" s="111"/>
      <c r="I51" s="44"/>
      <c r="J51" s="57" t="s">
        <v>135</v>
      </c>
      <c r="K51" s="79">
        <v>7.0000000000000007E-2</v>
      </c>
      <c r="L51" s="58">
        <v>103</v>
      </c>
      <c r="M51" s="109" t="s">
        <v>598</v>
      </c>
      <c r="N51" s="110"/>
      <c r="O51" s="110"/>
      <c r="P51" s="110"/>
      <c r="Q51" s="111"/>
    </row>
    <row r="52" spans="2:17" ht="21.75" customHeight="1">
      <c r="B52" s="55" t="s">
        <v>137</v>
      </c>
      <c r="C52" s="55">
        <v>70</v>
      </c>
      <c r="D52" s="80">
        <f>1/0.8</f>
        <v>1.25</v>
      </c>
      <c r="E52" s="74">
        <f>$C$46</f>
        <v>0.05</v>
      </c>
      <c r="F52" s="56">
        <f>360*2.54/($C$37*E52)*$C$44*D52</f>
        <v>57.15</v>
      </c>
      <c r="G52" s="115" t="s">
        <v>599</v>
      </c>
      <c r="H52" s="117"/>
      <c r="I52" s="44"/>
      <c r="J52" s="55" t="s">
        <v>139</v>
      </c>
      <c r="K52" s="81">
        <v>6.6E-3</v>
      </c>
      <c r="L52" s="55">
        <v>103</v>
      </c>
      <c r="M52" s="115" t="s">
        <v>600</v>
      </c>
      <c r="N52" s="116"/>
      <c r="O52" s="116"/>
      <c r="P52" s="116"/>
      <c r="Q52" s="117"/>
    </row>
    <row r="53" spans="2:17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spans="2:17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</row>
    <row r="55" spans="2:17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 spans="2:17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2:17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 spans="2:17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</row>
  </sheetData>
  <mergeCells count="61">
    <mergeCell ref="O7:P7"/>
    <mergeCell ref="H38:I38"/>
    <mergeCell ref="G52:H52"/>
    <mergeCell ref="N40:Q40"/>
    <mergeCell ref="H43:I43"/>
    <mergeCell ref="N43:Q43"/>
    <mergeCell ref="H37:I37"/>
    <mergeCell ref="N42:Q42"/>
    <mergeCell ref="H27:I27"/>
    <mergeCell ref="J45:M45"/>
    <mergeCell ref="G51:H51"/>
    <mergeCell ref="J47:Q47"/>
    <mergeCell ref="J36:M36"/>
    <mergeCell ref="O6:P6"/>
    <mergeCell ref="J43:M43"/>
    <mergeCell ref="E5:F5"/>
    <mergeCell ref="M49:Q49"/>
    <mergeCell ref="H41:I41"/>
    <mergeCell ref="B47:H47"/>
    <mergeCell ref="J44:M44"/>
    <mergeCell ref="H36:I36"/>
    <mergeCell ref="J38:M38"/>
    <mergeCell ref="N41:Q41"/>
    <mergeCell ref="J37:M37"/>
    <mergeCell ref="G49:H49"/>
    <mergeCell ref="N37:Q37"/>
    <mergeCell ref="J40:M40"/>
    <mergeCell ref="H45:I45"/>
    <mergeCell ref="Q6:Q9"/>
    <mergeCell ref="B22:C22"/>
    <mergeCell ref="K5:L5"/>
    <mergeCell ref="M52:Q52"/>
    <mergeCell ref="H44:I44"/>
    <mergeCell ref="H40:I40"/>
    <mergeCell ref="G48:H48"/>
    <mergeCell ref="M48:Q48"/>
    <mergeCell ref="J42:M42"/>
    <mergeCell ref="H39:I39"/>
    <mergeCell ref="N45:Q45"/>
    <mergeCell ref="B48:C48"/>
    <mergeCell ref="H25:I25"/>
    <mergeCell ref="N36:Q36"/>
    <mergeCell ref="M51:Q51"/>
    <mergeCell ref="J39:M39"/>
    <mergeCell ref="B35:Q35"/>
    <mergeCell ref="N5:Q5"/>
    <mergeCell ref="B51:C51"/>
    <mergeCell ref="H42:I42"/>
    <mergeCell ref="N39:Q39"/>
    <mergeCell ref="B5:C5"/>
    <mergeCell ref="H24:I24"/>
    <mergeCell ref="N44:Q44"/>
    <mergeCell ref="G50:H50"/>
    <mergeCell ref="H5:I5"/>
    <mergeCell ref="B50:C50"/>
    <mergeCell ref="H23:I23"/>
    <mergeCell ref="N38:Q38"/>
    <mergeCell ref="M50:Q50"/>
    <mergeCell ref="J41:M41"/>
    <mergeCell ref="H26:I26"/>
    <mergeCell ref="B49:C49"/>
  </mergeCells>
  <phoneticPr fontId="7" type="noConversion"/>
  <dataValidations count="5">
    <dataValidation type="list" allowBlank="1" sqref="O8:O9">
      <formula1>$K$7:$K$20</formula1>
    </dataValidation>
    <dataValidation type="list" allowBlank="1" sqref="C42">
      <formula1>$K$7:$K$20</formula1>
    </dataValidation>
    <dataValidation type="list" allowBlank="1" sqref="C39">
      <formula1>"TPP General,FPP General,ADS"</formula1>
    </dataValidation>
    <dataValidation type="list" allowBlank="1" sqref="C40">
      <formula1>"80,81,82,83,84,85,86,87,88,89,90,91,92,93,94,95,96,97,98,99,100,101,102,103"</formula1>
    </dataValidation>
    <dataValidation type="list" allowBlank="1" sqref="F37">
      <formula1>"CS2,Valorant,Overwatch"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Korean</vt:lpstr>
      <vt:lpstr>English</vt:lpstr>
      <vt:lpstr>日本語</vt:lpstr>
      <vt:lpstr>简体中文</vt:lpstr>
      <vt:lpstr>繁體中文</vt:lpstr>
      <vt:lpstr>Русский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vwerkgl</cp:lastModifiedBy>
  <dcterms:modified xsi:type="dcterms:W3CDTF">2026-07-02T14:11:21Z</dcterms:modified>
</cp:coreProperties>
</file>